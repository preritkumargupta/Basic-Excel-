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namedSheetViews/namedSheetView1.xml" ContentType="application/vnd.ms-excel.namedsheetviews+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Ex5.xml" ContentType="application/vnd.ms-office.chartex+xml"/>
  <Override PartName="/xl/charts/style12.xml" ContentType="application/vnd.ms-office.chartstyle+xml"/>
  <Override PartName="/xl/charts/colors12.xml" ContentType="application/vnd.ms-office.chartcolorsty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queryTables/queryTable3.xml" ContentType="application/vnd.openxmlformats-officedocument.spreadsheetml.queryTable+xml"/>
  <Override PartName="/xl/tables/table8.xml" ContentType="application/vnd.openxmlformats-officedocument.spreadsheetml.table+xml"/>
  <Override PartName="/xl/queryTables/queryTable4.xml" ContentType="application/vnd.openxmlformats-officedocument.spreadsheetml.queryTable+xml"/>
  <Override PartName="/xl/tables/table9.xml" ContentType="application/vnd.openxmlformats-officedocument.spreadsheetml.table+xml"/>
  <Override PartName="/xl/queryTables/queryTable5.xml" ContentType="application/vnd.openxmlformats-officedocument.spreadsheetml.queryTable+xml"/>
  <Override PartName="/xl/tables/table10.xml" ContentType="application/vnd.openxmlformats-officedocument.spreadsheetml.table+xml"/>
  <Override PartName="/xl/queryTables/queryTable6.xml" ContentType="application/vnd.openxmlformats-officedocument.spreadsheetml.queryTable+xml"/>
  <Override PartName="/xl/tables/table11.xml" ContentType="application/vnd.openxmlformats-officedocument.spreadsheetml.table+xml"/>
  <Override PartName="/xl/queryTables/queryTable7.xml" ContentType="application/vnd.openxmlformats-officedocument.spreadsheetml.queryTable+xml"/>
  <Override PartName="/xl/tables/table12.xml" ContentType="application/vnd.openxmlformats-officedocument.spreadsheetml.table+xml"/>
  <Override PartName="/xl/queryTables/queryTable8.xml" ContentType="application/vnd.openxmlformats-officedocument.spreadsheetml.queryTable+xml"/>
  <Override PartName="/xl/tables/table13.xml" ContentType="application/vnd.openxmlformats-officedocument.spreadsheetml.table+xml"/>
  <Override PartName="/xl/queryTables/queryTable9.xml" ContentType="application/vnd.openxmlformats-officedocument.spreadsheetml.queryTable+xml"/>
  <Override PartName="/xl/tables/table14.xml" ContentType="application/vnd.openxmlformats-officedocument.spreadsheetml.table+xml"/>
  <Override PartName="/xl/pivotTables/pivotTable9.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3.xml" ContentType="application/vnd.ms-office.chartstyle+xml"/>
  <Override PartName="/xl/charts/colors13.xml" ContentType="application/vnd.ms-office.chartcolorstyle+xml"/>
  <Override PartName="/xl/charts/chart9.xml" ContentType="application/vnd.openxmlformats-officedocument.drawingml.chart+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reri\Videos\Downloads\"/>
    </mc:Choice>
  </mc:AlternateContent>
  <xr:revisionPtr revIDLastSave="0" documentId="8_{9517E58D-2113-4F9B-B244-71E1D0AF5392}" xr6:coauthVersionLast="47" xr6:coauthVersionMax="47" xr10:uidLastSave="{00000000-0000-0000-0000-000000000000}"/>
  <bookViews>
    <workbookView xWindow="-108" yWindow="-108" windowWidth="23256" windowHeight="13176" firstSheet="35" activeTab="39" xr2:uid="{4899C363-D6E5-4D15-B903-0083923AB55A}"/>
  </bookViews>
  <sheets>
    <sheet name="Split (and freeze)" sheetId="2" r:id="rId1"/>
    <sheet name="FORMULAS AND FUNCTIONS" sheetId="3" r:id="rId2"/>
    <sheet name="goto, go to special" sheetId="4" r:id="rId3"/>
    <sheet name="find, replace" sheetId="5" r:id="rId4"/>
    <sheet name="VIsible cells only" sheetId="6" r:id="rId5"/>
    <sheet name="FILL - down right flash" sheetId="7" r:id="rId6"/>
    <sheet name="Copying formulas" sheetId="8" r:id="rId7"/>
    <sheet name="SUBTOTAL" sheetId="9" r:id="rId8"/>
    <sheet name="ROUND FUNCTIONS" sheetId="10" r:id="rId9"/>
    <sheet name="Text functions" sheetId="11" r:id="rId10"/>
    <sheet name="Basic formatting" sheetId="42" r:id="rId11"/>
    <sheet name="Logical operators (test)" sheetId="12" r:id="rId12"/>
    <sheet name="How to use IF functions" sheetId="13" r:id="rId13"/>
    <sheet name="Absolute Relative cell referenc" sheetId="14" r:id="rId14"/>
    <sheet name="If functions " sheetId="15" r:id="rId15"/>
    <sheet name="IFs Functions" sheetId="16" r:id="rId16"/>
    <sheet name="Database functions" sheetId="17" r:id="rId17"/>
    <sheet name="Logical functions" sheetId="18" r:id="rId18"/>
    <sheet name="Speak cells, Show hide formulas" sheetId="19" r:id="rId19"/>
    <sheet name="Trace precedents and dependents" sheetId="20" r:id="rId20"/>
    <sheet name="Evaluate formulas" sheetId="21" r:id="rId21"/>
    <sheet name="FOrmula auditing 2" sheetId="22" r:id="rId22"/>
    <sheet name="Excel Protection" sheetId="23" r:id="rId23"/>
    <sheet name="Text to columns - Delimiter" sheetId="24" r:id="rId24"/>
    <sheet name="Text to columns - Fixed width" sheetId="25" r:id="rId25"/>
    <sheet name="Textsplit function" sheetId="26" r:id="rId26"/>
    <sheet name="Textbefore function" sheetId="27" r:id="rId27"/>
    <sheet name="Textafter function" sheetId="28" r:id="rId28"/>
    <sheet name="Naming ranges" sheetId="29" r:id="rId29"/>
    <sheet name="Tables in Excel" sheetId="1" r:id="rId30"/>
    <sheet name="Data Validation" sheetId="33" r:id="rId31"/>
    <sheet name="Dropdown" sheetId="34" r:id="rId32"/>
    <sheet name="Data for dropdown" sheetId="35" r:id="rId33"/>
    <sheet name="Dependent dropdown" sheetId="36" r:id="rId34"/>
    <sheet name="Index and Match functions" sheetId="37" r:id="rId35"/>
    <sheet name="HLOOKUP" sheetId="39" r:id="rId36"/>
    <sheet name="VLOOKUP" sheetId="38" r:id="rId37"/>
    <sheet name="LOOKUP" sheetId="40" r:id="rId38"/>
    <sheet name="XLOOKUP" sheetId="41" r:id="rId39"/>
    <sheet name="Sheet11" sheetId="139" r:id="rId40"/>
    <sheet name="Sheet4" sheetId="133" r:id="rId41"/>
    <sheet name="Offset" sheetId="94" r:id="rId42"/>
    <sheet name="Number formatting" sheetId="95" r:id="rId43"/>
    <sheet name="Date and Time formatting" sheetId="96" r:id="rId44"/>
    <sheet name="Excel Table" sheetId="98" r:id="rId45"/>
    <sheet name="Basic Sorting and Filtering" sheetId="30" r:id="rId46"/>
    <sheet name="Advanced sorting and filtering" sheetId="32" r:id="rId47"/>
    <sheet name="Sheet6" sheetId="100" r:id="rId48"/>
    <sheet name="Removing Duplicates" sheetId="101" r:id="rId49"/>
    <sheet name="Remove duplicates - Table3" sheetId="102" r:id="rId50"/>
    <sheet name="Scenario manager" sheetId="103" r:id="rId51"/>
    <sheet name="Scenario Summary" sheetId="108" r:id="rId52"/>
    <sheet name="Scenario PivotTable" sheetId="109" r:id="rId53"/>
    <sheet name="Data Table" sheetId="112" r:id="rId54"/>
    <sheet name="Goal seek - 1" sheetId="110" r:id="rId55"/>
    <sheet name="Goal Seek - 2" sheetId="111" r:id="rId56"/>
    <sheet name="Sales - 2021" sheetId="113" r:id="rId57"/>
    <sheet name="Sales - 2022" sheetId="114" r:id="rId58"/>
    <sheet name="Sales - 2023" sheetId="115" r:id="rId59"/>
    <sheet name="Sales - 2024" sheetId="116" r:id="rId60"/>
    <sheet name="Consolidate TotalSales" sheetId="119" r:id="rId61"/>
    <sheet name="Type Check" sheetId="120" r:id="rId62"/>
    <sheet name="Approximate &amp; true match" sheetId="43" r:id="rId63"/>
    <sheet name="Date Time functions" sheetId="44" r:id="rId64"/>
    <sheet name="Basic Conditional formatting" sheetId="45" r:id="rId65"/>
    <sheet name="Advanced Conditional formatting" sheetId="46" r:id="rId66"/>
    <sheet name="Data for Pivot table" sheetId="48" r:id="rId67"/>
    <sheet name="Pivot grouping" sheetId="68" state="hidden" r:id="rId68"/>
    <sheet name="Pivot Table" sheetId="123" r:id="rId69"/>
    <sheet name="Pivot Table 2" sheetId="124" r:id="rId70"/>
    <sheet name="Data for Pivot chart" sheetId="75" r:id="rId71"/>
    <sheet name="Pivot Chart" sheetId="125" r:id="rId72"/>
    <sheet name="Pivot Slicer" sheetId="65" r:id="rId73"/>
    <sheet name="Pivot Timeline" sheetId="128" r:id="rId74"/>
    <sheet name="Charts - Column, Clustered, Pie" sheetId="69" r:id="rId75"/>
    <sheet name="Charts - Line, Clustered bar" sheetId="70" r:id="rId76"/>
    <sheet name="Charts - Sprklne, Wtrf, Fnnl" sheetId="74" r:id="rId77"/>
    <sheet name="Charts - Treemap, Sunburst" sheetId="77" r:id="rId78"/>
    <sheet name="Unclean data" sheetId="79" state="hidden" r:id="rId79"/>
    <sheet name="Power Query - Cleaned data" sheetId="84" r:id="rId80"/>
    <sheet name="Power Query Merge." sheetId="88" r:id="rId81"/>
    <sheet name="Table1" sheetId="87" r:id="rId82"/>
    <sheet name="Table2" sheetId="86" r:id="rId83"/>
    <sheet name="Append1" sheetId="92" r:id="rId84"/>
    <sheet name="Sheet5" sheetId="91" r:id="rId85"/>
    <sheet name="Sheet2" sheetId="90" r:id="rId86"/>
    <sheet name="Sheet1" sheetId="89" r:id="rId87"/>
    <sheet name="Unclean sales data" sheetId="129" r:id="rId88"/>
    <sheet name="Clean sales data" sheetId="130" r:id="rId89"/>
    <sheet name="Dashboard_New" sheetId="131" r:id="rId90"/>
  </sheets>
  <definedNames>
    <definedName name="_xlnm._FilterDatabase" localSheetId="46" hidden="1">'Advanced sorting and filtering'!$C$3:$E$12</definedName>
    <definedName name="_xlnm._FilterDatabase" localSheetId="45" hidden="1">'Basic Sorting and Filtering'!$B$3:$D$12</definedName>
    <definedName name="_xlnm._FilterDatabase" localSheetId="5" hidden="1">'FILL - down right flash'!$B$2:$E$9</definedName>
    <definedName name="_xlnm._FilterDatabase" localSheetId="2" hidden="1">'goto, go to special'!$B$2:$F$9</definedName>
    <definedName name="_xlnm._FilterDatabase" localSheetId="28" hidden="1">'Naming ranges'!$G$3:$G$14</definedName>
    <definedName name="_xlnm._FilterDatabase" localSheetId="7" hidden="1">SUBTOTAL!$B$36:$E$36</definedName>
    <definedName name="_xlnm._FilterDatabase" localSheetId="9" hidden="1">'Text functions'!$B$4:$B$12</definedName>
    <definedName name="_MO">'Naming ranges'!$C$7:$C$13</definedName>
    <definedName name="_xlchart.v1.0" hidden="1">'Charts - Sprklne, Wtrf, Fnnl'!$D$6:$D$13</definedName>
    <definedName name="_xlchart.v1.1" hidden="1">'Charts - Sprklne, Wtrf, Fnnl'!$E$5</definedName>
    <definedName name="_xlchart.v1.10" hidden="1">'Charts - Sprklne, Wtrf, Fnnl'!$B$3:$B$10</definedName>
    <definedName name="_xlchart.v1.11" hidden="1">'Charts - Treemap, Sunburst'!$G$2:$H$19</definedName>
    <definedName name="_xlchart.v1.12" hidden="1">'Charts - Treemap, Sunburst'!$I$1</definedName>
    <definedName name="_xlchart.v1.13" hidden="1">'Charts - Treemap, Sunburst'!$I$2:$I$19</definedName>
    <definedName name="_xlchart.v1.14" hidden="1">'Charts - Treemap, Sunburst'!$I$55:$J$72</definedName>
    <definedName name="_xlchart.v1.15" hidden="1">'Charts - Treemap, Sunburst'!$K$54</definedName>
    <definedName name="_xlchart.v1.16" hidden="1">'Charts - Treemap, Sunburst'!$K$55:$K$72</definedName>
    <definedName name="_xlchart.v1.2" hidden="1">'Charts - Sprklne, Wtrf, Fnnl'!$E$6:$E$13</definedName>
    <definedName name="_xlchart.v1.3" hidden="1">'Charts - Sprklne, Wtrf, Fnnl'!$F$5</definedName>
    <definedName name="_xlchart.v1.4" hidden="1">'Charts - Sprklne, Wtrf, Fnnl'!$F$6:$F$13</definedName>
    <definedName name="_xlchart.v1.8" hidden="1">'Charts - Sprklne, Wtrf, Fnnl'!$A$3:$A$10</definedName>
    <definedName name="_xlchart.v1.9" hidden="1">'Charts - Sprklne, Wtrf, Fnnl'!$B$2</definedName>
    <definedName name="_xlchart.v2.5" hidden="1">'Charts - Sprklne, Wtrf, Fnnl'!$A$3:$A$10</definedName>
    <definedName name="_xlchart.v2.6" hidden="1">'Charts - Sprklne, Wtrf, Fnnl'!$B$2</definedName>
    <definedName name="_xlchart.v2.7" hidden="1">'Charts - Sprklne, Wtrf, Fnnl'!$B$3:$B$10</definedName>
    <definedName name="_xlcn.WorksheetConnection_Chartsdata2B2C201" hidden="1">'Charts - Line, Clustered bar'!$B$2:$C$20</definedName>
    <definedName name="Alphabets">'Dependent dropdown'!$G$3:$G$10</definedName>
    <definedName name="antennas">'Scenario manager'!$E$10</definedName>
    <definedName name="button">'Scenario manager'!#REF!</definedName>
    <definedName name="charg.port">'Scenario manager'!$E$9</definedName>
    <definedName name="cooling">'Scenario manager'!$E$14</definedName>
    <definedName name="_xlnm.Criteria" localSheetId="46">'Advanced sorting and filtering'!$G$17:$G$19</definedName>
    <definedName name="_xlnm.Criteria" localSheetId="45">'Advanced sorting and filtering'!$G$17:$G$19</definedName>
    <definedName name="Digitizer">'Scenario manager'!$E$5</definedName>
    <definedName name="ExternalData_1" localSheetId="79" hidden="1">'Power Query - Cleaned data'!$A$1:$F$83</definedName>
    <definedName name="ExternalData_1" localSheetId="49" hidden="1">'Remove duplicates - Table3'!$A$1:$C$15</definedName>
    <definedName name="ExternalData_1" localSheetId="86" hidden="1">Sheet1!$A$1:$F$7</definedName>
    <definedName name="ExternalData_1" localSheetId="82" hidden="1">Table2!$A$1:$D$19</definedName>
    <definedName name="ExternalData_2" localSheetId="85" hidden="1">Sheet2!$A$1:$F$7</definedName>
    <definedName name="ExternalData_2" localSheetId="81" hidden="1">Table1!$A$1:$B$19</definedName>
    <definedName name="ExternalData_3" localSheetId="80" hidden="1">'Power Query Merge.'!$A$1:$E$21</definedName>
    <definedName name="ExternalData_3" localSheetId="84" hidden="1">Sheet5!$A$1:$F$7</definedName>
    <definedName name="ExternalData_4" localSheetId="83" hidden="1">Append1!$A$1:$F$19</definedName>
    <definedName name="_xlnm.Extract" localSheetId="46">'Advanced sorting and filtering'!$E$27:$G$27</definedName>
    <definedName name="_xlnm.Extract" localSheetId="45">'Advanced sorting and filtering'!$E$27:$G$27</definedName>
    <definedName name="_xlnm.Extract" localSheetId="47">Sheet6!$C$2:$E$2</definedName>
    <definedName name="GRADES">'Data for dropdown'!$F$4:$F$10</definedName>
    <definedName name="mic">'Scenario manager'!$E$7</definedName>
    <definedName name="MO">'Naming ranges'!$C$9</definedName>
    <definedName name="Month">'Naming ranges'!$C$7:$C$14</definedName>
    <definedName name="MONTHSPRODUCTS">'Naming ranges'!$C$6:$E$14</definedName>
    <definedName name="NativeTimeline_Date">#N/A</definedName>
    <definedName name="Numbers">'Dependent dropdown'!$H$3:$H$10</definedName>
    <definedName name="_xlnm.Print_Titles" localSheetId="12">'How to use IF functions'!$3:$3</definedName>
    <definedName name="Product">'Naming ranges'!$D$7:$D$14</definedName>
    <definedName name="Sales">#REF!</definedName>
    <definedName name="Sceen">'Scenario manager'!#REF!</definedName>
    <definedName name="screen">'Scenario manager'!$E$4</definedName>
    <definedName name="simtray">'Scenario manager'!$E$11</definedName>
    <definedName name="Slicer_Products">#N/A</definedName>
    <definedName name="Slicer_Region">#N/A</definedName>
    <definedName name="speaker">'Scenario manager'!$E$6</definedName>
    <definedName name="Symbols">'Dependent dropdown'!$I$3:$I$10</definedName>
    <definedName name="Total">'Data Table'!#REF!</definedName>
    <definedName name="Type_of_data">'Dependent dropdown'!#REF!</definedName>
    <definedName name="vibr.motor">'Scenario manager'!$E$13</definedName>
  </definedNames>
  <calcPr calcId="191029" iterateCount="2" iterateDelta="2"/>
  <pivotCaches>
    <pivotCache cacheId="0" r:id="rId91"/>
    <pivotCache cacheId="1" r:id="rId92"/>
    <pivotCache cacheId="2" r:id="rId93"/>
    <pivotCache cacheId="3" r:id="rId94"/>
    <pivotCache cacheId="4" r:id="rId95"/>
    <pivotCache cacheId="5" r:id="rId96"/>
    <pivotCache cacheId="38" r:id="rId97"/>
  </pivotCaches>
  <extLst>
    <ext xmlns:x14="http://schemas.microsoft.com/office/spreadsheetml/2009/9/main" uri="{BBE1A952-AA13-448e-AADC-164F8A28A991}">
      <x14:slicerCaches>
        <x14:slicerCache r:id="rId9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9"/>
      </x15:timelineCacheRefs>
    </ext>
    <ext xmlns:x15="http://schemas.microsoft.com/office/spreadsheetml/2010/11/main" uri="{46BE6895-7355-4a93-B00E-2C351335B9C9}">
      <x15:slicerCaches xmlns:x14="http://schemas.microsoft.com/office/spreadsheetml/2009/9/main">
        <x14:slicerCache r:id="rId100"/>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Charts' data 2!$B$2:$C$2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41" l="1"/>
  <c r="H6" i="41"/>
  <c r="H4" i="37"/>
  <c r="I4" i="37"/>
  <c r="J4" i="37"/>
  <c r="K4" i="37"/>
  <c r="L4" i="37"/>
  <c r="H10" i="37" a="1"/>
  <c r="H10" i="37" s="1"/>
  <c r="I10" i="37" a="1"/>
  <c r="I10" i="37" s="1"/>
  <c r="J10" i="37" a="1"/>
  <c r="J10" i="37"/>
  <c r="H11" i="37" a="1"/>
  <c r="H11" i="37" s="1"/>
  <c r="I11" i="37" a="1"/>
  <c r="I11" i="37"/>
  <c r="J11" i="37" a="1"/>
  <c r="J11" i="37"/>
  <c r="I67" i="41" a="1"/>
  <c r="I67" i="41"/>
  <c r="I66" i="41" a="1"/>
  <c r="I66" i="41"/>
  <c r="I65" i="41" a="1"/>
  <c r="I65" i="41" s="1"/>
  <c r="I64" i="41" a="1"/>
  <c r="I64" i="41" s="1"/>
  <c r="H51" i="41" a="1"/>
  <c r="H51" i="41" s="1"/>
  <c r="H50" i="41" a="1"/>
  <c r="H50" i="41" s="1"/>
  <c r="H49" i="41" a="1"/>
  <c r="H49" i="41" s="1"/>
  <c r="H48" i="41" a="1"/>
  <c r="H48" i="41" s="1"/>
  <c r="H47" i="41" a="1"/>
  <c r="H47" i="41" s="1"/>
  <c r="C32" i="41"/>
  <c r="D32" i="41"/>
  <c r="D29" i="41"/>
  <c r="D30" i="41"/>
  <c r="D31" i="41"/>
  <c r="D28" i="41"/>
  <c r="C29" i="41"/>
  <c r="C30" i="41"/>
  <c r="C31" i="41"/>
  <c r="C28" i="41"/>
  <c r="J6" i="41"/>
  <c r="J7" i="41"/>
  <c r="J8" i="41"/>
  <c r="J9" i="41"/>
  <c r="I7" i="41"/>
  <c r="I8" i="41"/>
  <c r="I9" i="41"/>
  <c r="I6" i="41"/>
  <c r="I5" i="41"/>
  <c r="H7" i="41"/>
  <c r="H8" i="41"/>
  <c r="H9" i="41"/>
  <c r="H5" i="41"/>
  <c r="I5" i="38"/>
  <c r="I6" i="38"/>
  <c r="J6" i="38"/>
  <c r="K6" i="38"/>
  <c r="L6" i="38"/>
  <c r="M6" i="38"/>
  <c r="N6" i="38"/>
  <c r="O6" i="38"/>
  <c r="H6" i="38"/>
  <c r="J5" i="38"/>
  <c r="K5" i="38"/>
  <c r="L5" i="38"/>
  <c r="M5" i="38"/>
  <c r="N5" i="38"/>
  <c r="O5" i="38"/>
  <c r="H5" i="38"/>
  <c r="J4" i="38"/>
  <c r="K4" i="38"/>
  <c r="L4" i="38"/>
  <c r="M4" i="38"/>
  <c r="N4" i="38"/>
  <c r="O4" i="38"/>
  <c r="I4" i="38"/>
  <c r="H4" i="38"/>
  <c r="C19" i="39"/>
  <c r="D19" i="39"/>
  <c r="D12" i="39"/>
  <c r="D13" i="39"/>
  <c r="D14" i="39"/>
  <c r="D15" i="39"/>
  <c r="D16" i="39"/>
  <c r="D17" i="39"/>
  <c r="D18" i="39"/>
  <c r="D11" i="39"/>
  <c r="C12" i="39"/>
  <c r="C13" i="39"/>
  <c r="C14" i="39"/>
  <c r="C15" i="39"/>
  <c r="C16" i="39"/>
  <c r="C17" i="39"/>
  <c r="C18" i="39"/>
  <c r="C11" i="39"/>
  <c r="F6" i="23"/>
  <c r="F9" i="23"/>
  <c r="G20" i="48"/>
  <c r="G19" i="48"/>
  <c r="G18" i="48"/>
  <c r="G17" i="48"/>
  <c r="G16" i="48"/>
  <c r="G15" i="48"/>
  <c r="G14" i="48"/>
  <c r="G13" i="48"/>
  <c r="G12" i="48"/>
  <c r="G11" i="48"/>
  <c r="G10" i="48"/>
  <c r="G9" i="48"/>
  <c r="G8" i="48"/>
  <c r="G7" i="48"/>
  <c r="G6" i="48"/>
  <c r="G5" i="48"/>
  <c r="G4" i="48"/>
  <c r="G3" i="48"/>
  <c r="E15" i="120" a="1"/>
  <c r="E15" i="120" s="1"/>
  <c r="F15" i="120" a="1"/>
  <c r="F15" i="120" s="1"/>
  <c r="B18" i="120" a="1"/>
  <c r="B18" i="120"/>
  <c r="C17" i="120"/>
  <c r="C16" i="120"/>
  <c r="C15" i="120" a="1"/>
  <c r="C15" i="120" s="1"/>
  <c r="B15" i="120" s="1"/>
  <c r="B14" i="120"/>
  <c r="B13" i="120"/>
  <c r="B12" i="120"/>
  <c r="B11" i="120"/>
  <c r="B10" i="120"/>
  <c r="B9" i="120"/>
  <c r="G6" i="120"/>
  <c r="F6" i="120"/>
  <c r="E6" i="120"/>
  <c r="D6" i="120"/>
  <c r="I7" i="119"/>
  <c r="D3" i="119"/>
  <c r="E3" i="119"/>
  <c r="F3" i="119"/>
  <c r="G3" i="119"/>
  <c r="D4" i="119"/>
  <c r="E4" i="119"/>
  <c r="F4" i="119"/>
  <c r="G4" i="119"/>
  <c r="D5" i="119"/>
  <c r="E5" i="119"/>
  <c r="F5" i="119"/>
  <c r="G5" i="119"/>
  <c r="D6" i="119"/>
  <c r="E6" i="119"/>
  <c r="F6" i="119"/>
  <c r="G6" i="119"/>
  <c r="D7" i="119"/>
  <c r="E7" i="119"/>
  <c r="F7" i="119"/>
  <c r="G7" i="119"/>
  <c r="D8" i="119"/>
  <c r="E8" i="119"/>
  <c r="F8" i="119"/>
  <c r="G8" i="119"/>
  <c r="D9" i="119"/>
  <c r="E9" i="119"/>
  <c r="F9" i="119"/>
  <c r="G9" i="119"/>
  <c r="D10" i="119"/>
  <c r="E10" i="119"/>
  <c r="F10" i="119"/>
  <c r="G10" i="119"/>
  <c r="D11" i="119"/>
  <c r="E11" i="119"/>
  <c r="F11" i="119"/>
  <c r="G11" i="119"/>
  <c r="D12" i="119"/>
  <c r="E12" i="119"/>
  <c r="F12" i="119"/>
  <c r="G12" i="119"/>
  <c r="D13" i="119"/>
  <c r="E13" i="119"/>
  <c r="F13" i="119"/>
  <c r="G13" i="119"/>
  <c r="D14" i="119"/>
  <c r="E14" i="119"/>
  <c r="F14" i="119"/>
  <c r="G14" i="119"/>
  <c r="D15" i="119"/>
  <c r="E15" i="119"/>
  <c r="F15" i="119"/>
  <c r="G15" i="119"/>
  <c r="D16" i="119"/>
  <c r="E16" i="119"/>
  <c r="F16" i="119"/>
  <c r="G16" i="119"/>
  <c r="D17" i="119"/>
  <c r="E17" i="119"/>
  <c r="F17" i="119"/>
  <c r="G17" i="119"/>
  <c r="D18" i="119"/>
  <c r="E18" i="119"/>
  <c r="F18" i="119"/>
  <c r="G18" i="119"/>
  <c r="D19" i="119"/>
  <c r="E19" i="119"/>
  <c r="F19" i="119"/>
  <c r="G19" i="119"/>
  <c r="D20" i="119"/>
  <c r="E20" i="119"/>
  <c r="F20" i="119"/>
  <c r="G20" i="119"/>
  <c r="D21" i="119"/>
  <c r="E21" i="119"/>
  <c r="F21" i="119"/>
  <c r="G21" i="119"/>
  <c r="D22" i="119"/>
  <c r="E22" i="119"/>
  <c r="F22" i="119"/>
  <c r="G22" i="119"/>
  <c r="D23" i="119"/>
  <c r="E23" i="119"/>
  <c r="F23" i="119"/>
  <c r="G23" i="119"/>
  <c r="D24" i="119"/>
  <c r="E24" i="119"/>
  <c r="F24" i="119"/>
  <c r="G24" i="119"/>
  <c r="D25" i="119"/>
  <c r="E25" i="119"/>
  <c r="F25" i="119"/>
  <c r="G25" i="119"/>
  <c r="D26" i="119"/>
  <c r="E26" i="119"/>
  <c r="F26" i="119"/>
  <c r="G26" i="119"/>
  <c r="G27" i="119" s="1"/>
  <c r="D27" i="119"/>
  <c r="E27" i="119"/>
  <c r="F27" i="119"/>
  <c r="D28" i="119"/>
  <c r="E28" i="119"/>
  <c r="F28" i="119"/>
  <c r="G28" i="119"/>
  <c r="D29" i="119"/>
  <c r="E29" i="119"/>
  <c r="F29" i="119"/>
  <c r="G29" i="119"/>
  <c r="D30" i="119"/>
  <c r="E30" i="119"/>
  <c r="F30" i="119"/>
  <c r="G30" i="119"/>
  <c r="D31" i="119"/>
  <c r="E31" i="119"/>
  <c r="F31" i="119"/>
  <c r="G31" i="119"/>
  <c r="D32" i="119"/>
  <c r="E32" i="119"/>
  <c r="F32" i="119"/>
  <c r="G32" i="119"/>
  <c r="D33" i="119"/>
  <c r="E33" i="119"/>
  <c r="F33" i="119"/>
  <c r="G33" i="119"/>
  <c r="D34" i="119"/>
  <c r="E34" i="119"/>
  <c r="F34" i="119"/>
  <c r="G34" i="119"/>
  <c r="D35" i="119"/>
  <c r="E35" i="119"/>
  <c r="F35" i="119"/>
  <c r="G35" i="119"/>
  <c r="D36" i="119"/>
  <c r="E36" i="119"/>
  <c r="F36" i="119"/>
  <c r="G36" i="119"/>
  <c r="D37" i="119"/>
  <c r="E37" i="119"/>
  <c r="F37" i="119"/>
  <c r="G37" i="119"/>
  <c r="D8" i="116"/>
  <c r="E8" i="116"/>
  <c r="F8" i="116"/>
  <c r="G8" i="116"/>
  <c r="B10" i="115"/>
  <c r="C10" i="115"/>
  <c r="D10" i="115"/>
  <c r="E10" i="115"/>
  <c r="C8" i="114"/>
  <c r="D8" i="114"/>
  <c r="E8" i="114"/>
  <c r="F8" i="114"/>
  <c r="B8" i="113"/>
  <c r="C8" i="113"/>
  <c r="D8" i="113"/>
  <c r="E8" i="113"/>
  <c r="C30" i="112"/>
  <c r="G27" i="112" s="1"/>
  <c r="C15" i="112"/>
  <c r="G2" i="112" s="1"/>
  <c r="C8" i="111"/>
  <c r="C15" i="110"/>
  <c r="E15" i="103"/>
  <c r="J2" i="101" a="1"/>
  <c r="J2" i="101" s="1"/>
  <c r="D7" i="95"/>
  <c r="E44" i="94"/>
  <c r="D27" i="94"/>
  <c r="C27" i="94"/>
  <c r="C26" i="94"/>
  <c r="C25" i="94"/>
  <c r="C24" i="94"/>
  <c r="C23" i="94"/>
  <c r="C22" i="94"/>
  <c r="C21" i="94"/>
  <c r="B9" i="94"/>
  <c r="B8" i="94"/>
  <c r="F4" i="94"/>
  <c r="F3" i="94"/>
  <c r="E4" i="94"/>
  <c r="E3" i="94"/>
  <c r="J18" i="40"/>
  <c r="J19" i="40"/>
  <c r="J20" i="40"/>
  <c r="J21" i="40"/>
  <c r="J22" i="40"/>
  <c r="J23" i="40"/>
  <c r="J17" i="40"/>
  <c r="I18" i="40"/>
  <c r="I19" i="40"/>
  <c r="I20" i="40"/>
  <c r="I21" i="40"/>
  <c r="I22" i="40"/>
  <c r="I23" i="40"/>
  <c r="I17" i="40"/>
  <c r="H18" i="40"/>
  <c r="H19" i="40"/>
  <c r="H20" i="40"/>
  <c r="H21" i="40"/>
  <c r="H22" i="40"/>
  <c r="H23" i="40"/>
  <c r="H17" i="40"/>
  <c r="G8" i="40"/>
  <c r="G7" i="40"/>
  <c r="G6" i="40"/>
  <c r="G5" i="40"/>
  <c r="E43" i="17" a="1"/>
  <c r="E43" i="17" s="1"/>
  <c r="J25" i="17"/>
  <c r="J23" i="17"/>
  <c r="J21" i="17"/>
  <c r="I25" i="17"/>
  <c r="H25" i="17"/>
  <c r="H23" i="17"/>
  <c r="H21" i="17"/>
  <c r="I23" i="17"/>
  <c r="I21" i="17"/>
  <c r="K17" i="17"/>
  <c r="K15" i="17"/>
  <c r="K13" i="17"/>
  <c r="J17" i="17"/>
  <c r="J15" i="17"/>
  <c r="J13" i="17"/>
  <c r="I17" i="17"/>
  <c r="I15" i="17"/>
  <c r="I13" i="17"/>
  <c r="H17" i="17"/>
  <c r="H15" i="17"/>
  <c r="H13" i="17"/>
  <c r="G13" i="17"/>
  <c r="G15" i="16"/>
  <c r="G11" i="16"/>
  <c r="J13" i="16"/>
  <c r="J11" i="16"/>
  <c r="I15" i="16"/>
  <c r="I13" i="16"/>
  <c r="I11" i="16"/>
  <c r="H15" i="16"/>
  <c r="H13" i="16"/>
  <c r="H11" i="16"/>
  <c r="G13" i="16"/>
  <c r="H4" i="15"/>
  <c r="H8" i="15"/>
  <c r="J7" i="15"/>
  <c r="J5" i="15"/>
  <c r="J4" i="15"/>
  <c r="I10" i="15"/>
  <c r="I8" i="15"/>
  <c r="I6" i="15"/>
  <c r="I4" i="15"/>
  <c r="H10" i="15"/>
  <c r="H6" i="15"/>
  <c r="H61" i="44"/>
  <c r="H60" i="44"/>
  <c r="H62" i="44"/>
  <c r="G62" i="44"/>
  <c r="G60" i="44"/>
  <c r="G61" i="44"/>
  <c r="H55" i="44"/>
  <c r="G55" i="44"/>
  <c r="F55" i="44"/>
  <c r="E55" i="44"/>
  <c r="D55" i="44"/>
  <c r="C55" i="44"/>
  <c r="F23" i="44"/>
  <c r="F22" i="44"/>
  <c r="F21" i="44"/>
  <c r="F20" i="44"/>
  <c r="E22" i="44"/>
  <c r="E27" i="44" s="1"/>
  <c r="E23" i="44"/>
  <c r="E28" i="44" s="1"/>
  <c r="E21" i="44"/>
  <c r="E26" i="44" s="1"/>
  <c r="E20" i="44"/>
  <c r="E25" i="44" s="1"/>
  <c r="I6" i="44"/>
  <c r="I10" i="44" s="1"/>
  <c r="H6" i="44"/>
  <c r="G6" i="44"/>
  <c r="E40" i="44" s="1"/>
  <c r="G10" i="18"/>
  <c r="G11" i="18"/>
  <c r="G8" i="18"/>
  <c r="G9" i="18"/>
  <c r="G7" i="18"/>
  <c r="E29" i="18"/>
  <c r="C29" i="18"/>
  <c r="C33" i="18"/>
  <c r="F30" i="18"/>
  <c r="F31" i="18"/>
  <c r="F32" i="18"/>
  <c r="F33" i="18"/>
  <c r="F34" i="18"/>
  <c r="F28" i="18"/>
  <c r="F29" i="18"/>
  <c r="F27" i="18"/>
  <c r="F26" i="18"/>
  <c r="D30" i="18"/>
  <c r="E30" i="18" s="1"/>
  <c r="D31" i="18"/>
  <c r="E31" i="18" s="1"/>
  <c r="D32" i="18"/>
  <c r="E32" i="18" s="1"/>
  <c r="D33" i="18"/>
  <c r="E33" i="18" s="1"/>
  <c r="D34" i="18"/>
  <c r="E34" i="18" s="1"/>
  <c r="D28" i="18"/>
  <c r="E28" i="18" s="1"/>
  <c r="D29" i="18"/>
  <c r="D27" i="18"/>
  <c r="E27" i="18" s="1"/>
  <c r="D26" i="18"/>
  <c r="E26" i="18" s="1"/>
  <c r="B28" i="18"/>
  <c r="C28" i="18" s="1"/>
  <c r="B29" i="18"/>
  <c r="B30" i="18"/>
  <c r="C30" i="18" s="1"/>
  <c r="B31" i="18"/>
  <c r="C31" i="18" s="1"/>
  <c r="B32" i="18"/>
  <c r="C32" i="18" s="1"/>
  <c r="B33" i="18"/>
  <c r="B34" i="18"/>
  <c r="C34" i="18" s="1"/>
  <c r="B27" i="18"/>
  <c r="C27" i="18" s="1"/>
  <c r="B26" i="18"/>
  <c r="C26" i="18" s="1"/>
  <c r="G12" i="12"/>
  <c r="G11" i="12"/>
  <c r="G10" i="12"/>
  <c r="G9" i="12"/>
  <c r="G8" i="12"/>
  <c r="G7" i="12"/>
  <c r="G6" i="12"/>
  <c r="F12" i="12"/>
  <c r="F11" i="12"/>
  <c r="F10" i="12"/>
  <c r="F9" i="12"/>
  <c r="F8" i="12"/>
  <c r="F7" i="12"/>
  <c r="F6" i="12"/>
  <c r="G46" i="11"/>
  <c r="G45" i="11"/>
  <c r="G44" i="11"/>
  <c r="G43" i="11"/>
  <c r="G42" i="11"/>
  <c r="E40" i="11"/>
  <c r="E39" i="11"/>
  <c r="D40" i="11"/>
  <c r="D39" i="11"/>
  <c r="E31" i="11"/>
  <c r="E32" i="11"/>
  <c r="E33" i="11"/>
  <c r="E34" i="11"/>
  <c r="E35" i="11"/>
  <c r="E36" i="11"/>
  <c r="E37" i="11"/>
  <c r="D37" i="11"/>
  <c r="D36" i="11"/>
  <c r="D35" i="11"/>
  <c r="D34" i="11"/>
  <c r="D33" i="11"/>
  <c r="D32" i="11"/>
  <c r="D31" i="11"/>
  <c r="D30" i="11"/>
  <c r="E30" i="11"/>
  <c r="E29" i="11"/>
  <c r="D29" i="11"/>
  <c r="F17" i="11"/>
  <c r="G20" i="11"/>
  <c r="F25" i="11"/>
  <c r="F21" i="11"/>
  <c r="F19" i="11"/>
  <c r="E19" i="11"/>
  <c r="E21" i="11"/>
  <c r="E23" i="11"/>
  <c r="G23" i="11" s="1"/>
  <c r="E25" i="11"/>
  <c r="G25" i="11" s="1"/>
  <c r="E17" i="11"/>
  <c r="D19" i="11"/>
  <c r="G19" i="11" s="1"/>
  <c r="D20" i="11"/>
  <c r="F20" i="11" s="1"/>
  <c r="D21" i="11"/>
  <c r="G21" i="11" s="1"/>
  <c r="D22" i="11"/>
  <c r="F22" i="11" s="1"/>
  <c r="D23" i="11"/>
  <c r="F23" i="11" s="1"/>
  <c r="D24" i="11"/>
  <c r="E24" i="11" s="1"/>
  <c r="G24" i="11" s="1"/>
  <c r="D25" i="11"/>
  <c r="D18" i="11"/>
  <c r="G18" i="11" s="1"/>
  <c r="D17" i="11"/>
  <c r="G17" i="11" s="1"/>
  <c r="C19" i="11"/>
  <c r="C20" i="11"/>
  <c r="C21" i="11"/>
  <c r="C22" i="11"/>
  <c r="C23" i="11"/>
  <c r="C24" i="11"/>
  <c r="C25" i="11"/>
  <c r="C18" i="11"/>
  <c r="C17" i="11"/>
  <c r="H6" i="11"/>
  <c r="H7" i="11"/>
  <c r="H8" i="11"/>
  <c r="H9" i="11"/>
  <c r="H10" i="11"/>
  <c r="H11" i="11"/>
  <c r="H12" i="11"/>
  <c r="H5" i="11"/>
  <c r="H4" i="11"/>
  <c r="G6" i="11"/>
  <c r="G7" i="11"/>
  <c r="G8" i="11"/>
  <c r="G9" i="11"/>
  <c r="G10" i="11"/>
  <c r="G11" i="11"/>
  <c r="G12" i="11"/>
  <c r="G5" i="11"/>
  <c r="G4" i="11"/>
  <c r="F6" i="11"/>
  <c r="F7" i="11"/>
  <c r="F8" i="11"/>
  <c r="F9" i="11"/>
  <c r="F10" i="11"/>
  <c r="F11" i="11"/>
  <c r="F12" i="11"/>
  <c r="F5" i="11"/>
  <c r="F4" i="11"/>
  <c r="E6" i="11"/>
  <c r="E7" i="11"/>
  <c r="E8" i="11"/>
  <c r="E9" i="11"/>
  <c r="E10" i="11"/>
  <c r="E11" i="11"/>
  <c r="E12" i="11"/>
  <c r="E5" i="11"/>
  <c r="E4" i="11"/>
  <c r="D6" i="11"/>
  <c r="D7" i="11"/>
  <c r="D8" i="11"/>
  <c r="D9" i="11"/>
  <c r="D10" i="11"/>
  <c r="D11" i="11"/>
  <c r="D12" i="11"/>
  <c r="D5" i="11"/>
  <c r="D4" i="11"/>
  <c r="C7" i="11"/>
  <c r="C8" i="11"/>
  <c r="C9" i="11"/>
  <c r="C10" i="11"/>
  <c r="C11" i="11"/>
  <c r="C12" i="11"/>
  <c r="C6" i="11"/>
  <c r="C5" i="11"/>
  <c r="C4" i="11"/>
  <c r="I21" i="10"/>
  <c r="J21" i="10"/>
  <c r="G21" i="10"/>
  <c r="H21" i="10"/>
  <c r="E21" i="10"/>
  <c r="F21" i="10"/>
  <c r="D21" i="10"/>
  <c r="C21" i="10"/>
  <c r="H20" i="10"/>
  <c r="I20" i="10"/>
  <c r="J20" i="10"/>
  <c r="F20" i="10"/>
  <c r="G20" i="10"/>
  <c r="D20" i="10"/>
  <c r="E20" i="10"/>
  <c r="C20" i="10"/>
  <c r="H19" i="10"/>
  <c r="I19" i="10"/>
  <c r="J19" i="10"/>
  <c r="F19" i="10"/>
  <c r="G19" i="10"/>
  <c r="D19" i="10"/>
  <c r="E19" i="10"/>
  <c r="C19" i="10"/>
  <c r="J18" i="10"/>
  <c r="I18" i="10"/>
  <c r="G18" i="10"/>
  <c r="H18" i="10"/>
  <c r="F18" i="10"/>
  <c r="E18" i="10"/>
  <c r="D18" i="10"/>
  <c r="C18" i="10"/>
  <c r="I16" i="10"/>
  <c r="J16" i="10"/>
  <c r="G16" i="10"/>
  <c r="H16" i="10"/>
  <c r="D16" i="10"/>
  <c r="E16" i="10"/>
  <c r="F16" i="10"/>
  <c r="C16" i="10"/>
  <c r="H15" i="10"/>
  <c r="I15" i="10"/>
  <c r="J15" i="10"/>
  <c r="F15" i="10"/>
  <c r="G15" i="10"/>
  <c r="D15" i="10"/>
  <c r="E15" i="10"/>
  <c r="C15" i="10"/>
  <c r="I14" i="10"/>
  <c r="J14" i="10"/>
  <c r="F14" i="10"/>
  <c r="G14" i="10"/>
  <c r="H14" i="10"/>
  <c r="D14" i="10"/>
  <c r="E14" i="10"/>
  <c r="C14" i="10"/>
  <c r="I13" i="10"/>
  <c r="J13" i="10"/>
  <c r="F13" i="10"/>
  <c r="G13" i="10"/>
  <c r="H13" i="10"/>
  <c r="D13" i="10"/>
  <c r="E13" i="10"/>
  <c r="C13" i="10"/>
  <c r="D11" i="10"/>
  <c r="E11" i="10"/>
  <c r="F11" i="10"/>
  <c r="G11" i="10"/>
  <c r="H11" i="10"/>
  <c r="I11" i="10"/>
  <c r="J11" i="10"/>
  <c r="C11" i="10"/>
  <c r="G10" i="10"/>
  <c r="H10" i="10"/>
  <c r="I10" i="10"/>
  <c r="J10" i="10"/>
  <c r="D10" i="10"/>
  <c r="E10" i="10"/>
  <c r="F10" i="10"/>
  <c r="C10" i="10"/>
  <c r="H9" i="10"/>
  <c r="I9" i="10"/>
  <c r="J9" i="10"/>
  <c r="F9" i="10"/>
  <c r="G9" i="10"/>
  <c r="D9" i="10"/>
  <c r="E9" i="10"/>
  <c r="C9" i="10"/>
  <c r="I8" i="10"/>
  <c r="J8" i="10"/>
  <c r="F8" i="10"/>
  <c r="G8" i="10"/>
  <c r="H8" i="10"/>
  <c r="D8" i="10"/>
  <c r="E8" i="10"/>
  <c r="C8" i="10"/>
  <c r="D6" i="10"/>
  <c r="E6" i="10"/>
  <c r="F6" i="10"/>
  <c r="G6" i="10"/>
  <c r="H6" i="10"/>
  <c r="I6" i="10"/>
  <c r="J6" i="10"/>
  <c r="C6" i="10"/>
  <c r="H5" i="10"/>
  <c r="I5" i="10"/>
  <c r="J5" i="10"/>
  <c r="G5" i="10"/>
  <c r="F5" i="10"/>
  <c r="E5" i="10"/>
  <c r="D5" i="10"/>
  <c r="C5" i="10"/>
  <c r="H4" i="10"/>
  <c r="I4" i="10"/>
  <c r="J4" i="10"/>
  <c r="F4" i="10"/>
  <c r="G4" i="10"/>
  <c r="E4" i="10"/>
  <c r="D4" i="10"/>
  <c r="C4" i="10"/>
  <c r="I3" i="10"/>
  <c r="J3" i="10"/>
  <c r="G3" i="10"/>
  <c r="H3" i="10"/>
  <c r="E3" i="10"/>
  <c r="F3" i="10"/>
  <c r="D3" i="10"/>
  <c r="C3" i="10"/>
  <c r="F32" i="8"/>
  <c r="E32" i="8"/>
  <c r="F31" i="8"/>
  <c r="E31" i="8"/>
  <c r="F30" i="8"/>
  <c r="G25" i="8"/>
  <c r="G26" i="8"/>
  <c r="G30" i="8" s="1"/>
  <c r="G27" i="8"/>
  <c r="H27" i="8" s="1"/>
  <c r="G28" i="8"/>
  <c r="H28" i="8" s="1"/>
  <c r="G29" i="8"/>
  <c r="E30" i="8"/>
  <c r="H29" i="8"/>
  <c r="H25" i="8"/>
  <c r="I19" i="8"/>
  <c r="I18" i="8"/>
  <c r="I17" i="8"/>
  <c r="I11" i="8"/>
  <c r="J15" i="8"/>
  <c r="J14" i="8"/>
  <c r="G10" i="8"/>
  <c r="J13" i="8"/>
  <c r="J8" i="8"/>
  <c r="G9" i="8"/>
  <c r="G20" i="8"/>
  <c r="D20" i="8"/>
  <c r="G11" i="8"/>
  <c r="G19" i="8"/>
  <c r="D19" i="8"/>
  <c r="G18" i="8"/>
  <c r="D18" i="8"/>
  <c r="K12" i="3"/>
  <c r="K11" i="3"/>
  <c r="K10" i="3"/>
  <c r="K6" i="3"/>
  <c r="K4" i="3"/>
  <c r="H13" i="3"/>
  <c r="D13" i="3"/>
  <c r="H12" i="3"/>
  <c r="D12" i="3"/>
  <c r="G8" i="3"/>
  <c r="G7" i="3"/>
  <c r="G6" i="3"/>
  <c r="G5" i="3"/>
  <c r="K8" i="3" s="1"/>
  <c r="G4" i="3"/>
  <c r="K7" i="3" s="1"/>
  <c r="G3" i="3"/>
  <c r="G6" i="14"/>
  <c r="G7" i="14"/>
  <c r="G8" i="14"/>
  <c r="F5" i="14"/>
  <c r="G5" i="14" s="1"/>
  <c r="F6" i="14"/>
  <c r="F7" i="14"/>
  <c r="F8" i="14"/>
  <c r="F4" i="14"/>
  <c r="G4" i="14" s="1"/>
  <c r="E4" i="14"/>
  <c r="E5" i="14"/>
  <c r="E6" i="14"/>
  <c r="E7" i="14"/>
  <c r="E8" i="14"/>
  <c r="D9" i="14"/>
  <c r="C9" i="14"/>
  <c r="B13" i="4" a="1"/>
  <c r="B13" i="4" s="1"/>
  <c r="H20" i="75"/>
  <c r="H19" i="75"/>
  <c r="H18" i="75"/>
  <c r="H17" i="75"/>
  <c r="H16" i="75"/>
  <c r="H15" i="75"/>
  <c r="H14" i="75"/>
  <c r="H13" i="75"/>
  <c r="H12" i="75"/>
  <c r="H11" i="75"/>
  <c r="H10" i="75"/>
  <c r="H9" i="75"/>
  <c r="H8" i="75"/>
  <c r="H7" i="75"/>
  <c r="H6" i="75"/>
  <c r="H5" i="75"/>
  <c r="H4" i="75"/>
  <c r="H3" i="75"/>
  <c r="G145" i="70"/>
  <c r="G144" i="70"/>
  <c r="G143" i="70"/>
  <c r="G142" i="70"/>
  <c r="G141" i="70"/>
  <c r="G140" i="70"/>
  <c r="G139" i="70"/>
  <c r="G138" i="70"/>
  <c r="G137" i="70"/>
  <c r="G136" i="70"/>
  <c r="G135" i="70"/>
  <c r="G134" i="70"/>
  <c r="G133" i="70"/>
  <c r="G132" i="70"/>
  <c r="G131" i="70"/>
  <c r="G130" i="70"/>
  <c r="G129" i="70"/>
  <c r="G128" i="70"/>
  <c r="E14" i="43"/>
  <c r="J14" i="43"/>
  <c r="E15" i="43"/>
  <c r="E16" i="43"/>
  <c r="E17" i="43"/>
  <c r="E18" i="43"/>
  <c r="E19" i="43"/>
  <c r="E20" i="43"/>
  <c r="E21" i="43"/>
  <c r="E22" i="43"/>
  <c r="E23" i="43"/>
  <c r="J15" i="43"/>
  <c r="J16" i="43"/>
  <c r="J17" i="43"/>
  <c r="J18" i="43"/>
  <c r="J19" i="43"/>
  <c r="J20" i="43"/>
  <c r="J21" i="43"/>
  <c r="J22" i="43"/>
  <c r="J23" i="43"/>
  <c r="G38" i="1"/>
  <c r="D18" i="29"/>
  <c r="I17" i="29" a="1"/>
  <c r="I17" i="29" s="1"/>
  <c r="E16" i="29"/>
  <c r="E14" i="29"/>
  <c r="F24" i="28"/>
  <c r="E24" i="28"/>
  <c r="F23" i="28"/>
  <c r="E23" i="28"/>
  <c r="F22" i="28"/>
  <c r="E22" i="28"/>
  <c r="F21" i="28"/>
  <c r="E21" i="28"/>
  <c r="F20" i="28"/>
  <c r="E20" i="28"/>
  <c r="F19" i="28"/>
  <c r="E19" i="28"/>
  <c r="F17" i="28"/>
  <c r="E17" i="28"/>
  <c r="H16" i="28"/>
  <c r="F16" i="28"/>
  <c r="E16" i="28"/>
  <c r="H15" i="28"/>
  <c r="F15" i="28"/>
  <c r="E15" i="28"/>
  <c r="F14" i="28"/>
  <c r="E14" i="28"/>
  <c r="F13" i="28"/>
  <c r="E13" i="28"/>
  <c r="H12" i="28"/>
  <c r="F12" i="28"/>
  <c r="E12" i="28"/>
  <c r="F11" i="28"/>
  <c r="E11" i="28"/>
  <c r="H10" i="28"/>
  <c r="E8" i="28"/>
  <c r="E7" i="28"/>
  <c r="E6" i="28"/>
  <c r="E5" i="28"/>
  <c r="E4" i="28"/>
  <c r="F38" i="27"/>
  <c r="E38" i="27"/>
  <c r="D38" i="27"/>
  <c r="F37" i="27"/>
  <c r="E37" i="27"/>
  <c r="D37" i="27"/>
  <c r="F36" i="27"/>
  <c r="E36" i="27"/>
  <c r="D36" i="27"/>
  <c r="F35" i="27"/>
  <c r="E35" i="27"/>
  <c r="D35" i="27"/>
  <c r="F34" i="27"/>
  <c r="E34" i="27"/>
  <c r="D34" i="27"/>
  <c r="F33" i="27"/>
  <c r="E33" i="27"/>
  <c r="D33" i="27"/>
  <c r="F32" i="27"/>
  <c r="E32" i="27"/>
  <c r="D32" i="27"/>
  <c r="F31" i="27"/>
  <c r="E31" i="27"/>
  <c r="D31" i="27"/>
  <c r="F30" i="27"/>
  <c r="E30" i="27"/>
  <c r="D30" i="27"/>
  <c r="F29" i="27"/>
  <c r="E29" i="27"/>
  <c r="D29" i="27"/>
  <c r="F28" i="27"/>
  <c r="E28" i="27"/>
  <c r="D28" i="27"/>
  <c r="F27" i="27"/>
  <c r="E27" i="27"/>
  <c r="D27" i="27"/>
  <c r="F26" i="27"/>
  <c r="E26" i="27"/>
  <c r="D26" i="27"/>
  <c r="F23" i="27"/>
  <c r="E23" i="27"/>
  <c r="I23" i="27" s="1"/>
  <c r="D23" i="27"/>
  <c r="H23" i="27" s="1"/>
  <c r="F22" i="27"/>
  <c r="E22" i="27"/>
  <c r="I22" i="27" s="1"/>
  <c r="D22" i="27"/>
  <c r="H22" i="27" s="1"/>
  <c r="F21" i="27"/>
  <c r="E21" i="27"/>
  <c r="I21" i="27" s="1"/>
  <c r="D21" i="27"/>
  <c r="H21" i="27" s="1"/>
  <c r="F20" i="27"/>
  <c r="E20" i="27"/>
  <c r="I20" i="27" s="1"/>
  <c r="D20" i="27"/>
  <c r="H20" i="27" s="1"/>
  <c r="F19" i="27"/>
  <c r="E19" i="27"/>
  <c r="I19" i="27" s="1"/>
  <c r="D19" i="27"/>
  <c r="H19" i="27" s="1"/>
  <c r="F18" i="27"/>
  <c r="E18" i="27"/>
  <c r="I18" i="27" s="1"/>
  <c r="D18" i="27"/>
  <c r="H18" i="27" s="1"/>
  <c r="F17" i="27"/>
  <c r="E17" i="27"/>
  <c r="I17" i="27" s="1"/>
  <c r="D17" i="27"/>
  <c r="H17" i="27" s="1"/>
  <c r="F16" i="27"/>
  <c r="E16" i="27"/>
  <c r="I16" i="27" s="1"/>
  <c r="D16" i="27"/>
  <c r="H16" i="27" s="1"/>
  <c r="F15" i="27"/>
  <c r="E15" i="27"/>
  <c r="I15" i="27" s="1"/>
  <c r="D15" i="27"/>
  <c r="H15" i="27" s="1"/>
  <c r="F14" i="27"/>
  <c r="E14" i="27"/>
  <c r="I14" i="27" s="1"/>
  <c r="D14" i="27"/>
  <c r="H14" i="27" s="1"/>
  <c r="F13" i="27"/>
  <c r="E13" i="27"/>
  <c r="I13" i="27" s="1"/>
  <c r="D13" i="27"/>
  <c r="H13" i="27" s="1"/>
  <c r="F12" i="27"/>
  <c r="E12" i="27"/>
  <c r="I12" i="27" s="1"/>
  <c r="D12" i="27"/>
  <c r="H12" i="27" s="1"/>
  <c r="F11" i="27"/>
  <c r="E11" i="27"/>
  <c r="I11" i="27" s="1"/>
  <c r="D11" i="27"/>
  <c r="H11" i="27" s="1"/>
  <c r="E8" i="27"/>
  <c r="E7" i="27"/>
  <c r="E6" i="27"/>
  <c r="E5" i="27"/>
  <c r="E4" i="27"/>
  <c r="F10" i="23"/>
  <c r="F8" i="23"/>
  <c r="F7" i="23"/>
  <c r="D42" i="22"/>
  <c r="F41" i="22"/>
  <c r="G33" i="22"/>
  <c r="C32" i="22"/>
  <c r="E30" i="22"/>
  <c r="I28" i="22"/>
  <c r="H28" i="22"/>
  <c r="G28" i="22"/>
  <c r="I26" i="22"/>
  <c r="H26" i="22"/>
  <c r="G26" i="22"/>
  <c r="I25" i="22"/>
  <c r="H25" i="22"/>
  <c r="G25" i="22"/>
  <c r="I23" i="22"/>
  <c r="H23" i="22"/>
  <c r="G23" i="22"/>
  <c r="J18" i="22"/>
  <c r="I18" i="22"/>
  <c r="H18" i="22"/>
  <c r="G18" i="22"/>
  <c r="J15" i="22"/>
  <c r="I15" i="22"/>
  <c r="H15" i="22"/>
  <c r="G15" i="22"/>
  <c r="J13" i="22"/>
  <c r="I13" i="22"/>
  <c r="H13" i="22"/>
  <c r="G13" i="22"/>
  <c r="F13" i="22"/>
  <c r="C7" i="21"/>
  <c r="C6" i="21"/>
  <c r="C5" i="21"/>
  <c r="C4" i="21"/>
  <c r="C3" i="21"/>
  <c r="C14" i="20"/>
  <c r="H13" i="20"/>
  <c r="C13" i="20"/>
  <c r="H12" i="20"/>
  <c r="H11" i="20"/>
  <c r="E10" i="20"/>
  <c r="D10" i="20"/>
  <c r="G8" i="20"/>
  <c r="G6" i="20"/>
  <c r="G4" i="20"/>
  <c r="H15" i="19"/>
  <c r="H14" i="19"/>
  <c r="H13" i="19"/>
  <c r="H12" i="19"/>
  <c r="H11" i="19"/>
  <c r="H10" i="19"/>
  <c r="H9" i="19"/>
  <c r="H8" i="19"/>
  <c r="F14" i="18"/>
  <c r="E14" i="18"/>
  <c r="D14" i="18"/>
  <c r="C14" i="18"/>
  <c r="H18" i="13"/>
  <c r="H17" i="13"/>
  <c r="H16" i="13"/>
  <c r="H15" i="13"/>
  <c r="H14" i="13"/>
  <c r="H13" i="13"/>
  <c r="H12" i="13"/>
  <c r="H11" i="13"/>
  <c r="E28" i="9"/>
  <c r="E21" i="9"/>
  <c r="E15" i="9"/>
  <c r="E7" i="9"/>
  <c r="F58" i="7"/>
  <c r="F10" i="5"/>
  <c r="D10" i="5"/>
  <c r="I7" i="5"/>
  <c r="I3" i="5"/>
  <c r="F10" i="4"/>
  <c r="D10" i="4"/>
  <c r="I7" i="4"/>
  <c r="I3" i="4"/>
  <c r="E10" i="3"/>
  <c r="D10" i="3"/>
  <c r="K5" i="22"/>
  <c r="D41" i="112" l="1"/>
  <c r="E35" i="44"/>
  <c r="E30" i="44"/>
  <c r="E36" i="44"/>
  <c r="E31" i="44"/>
  <c r="E38" i="44"/>
  <c r="E33" i="44"/>
  <c r="E37" i="44"/>
  <c r="E32" i="44"/>
  <c r="K3" i="3"/>
  <c r="E18" i="11"/>
  <c r="E22" i="11"/>
  <c r="G22" i="11" s="1"/>
  <c r="F18" i="11"/>
  <c r="I8" i="44"/>
  <c r="F24" i="11"/>
  <c r="I9" i="44"/>
  <c r="H26" i="8"/>
  <c r="E20" i="11"/>
  <c r="F46" i="44"/>
  <c r="F48" i="44"/>
  <c r="F47" i="44"/>
  <c r="E43" i="44"/>
  <c r="E42" i="44"/>
  <c r="E41" i="44"/>
  <c r="D13" i="4"/>
  <c r="C13" i="4"/>
  <c r="E30" i="9"/>
  <c r="E2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nishtha jain</author>
    <author>DR. NISHTHA JAIN</author>
  </authors>
  <commentList>
    <comment ref="C8" authorId="0" shapeId="0" xr:uid="{EE2B0E12-4818-4504-BABB-C10D850F95F0}">
      <text>
        <r>
          <rPr>
            <b/>
            <sz val="9"/>
            <color indexed="81"/>
            <rFont val="Tahoma"/>
            <family val="2"/>
          </rPr>
          <t>nishtha jain:</t>
        </r>
        <r>
          <rPr>
            <sz val="9"/>
            <color indexed="81"/>
            <rFont val="Tahoma"/>
            <family val="2"/>
          </rPr>
          <t xml:space="preserve">
xfmx
</t>
        </r>
      </text>
    </comment>
    <comment ref="C20" authorId="1" shapeId="0" xr:uid="{65C90914-DB88-4D0C-8B20-B1F3B7C6CF88}">
      <text>
        <r>
          <rPr>
            <b/>
            <sz val="9"/>
            <color indexed="81"/>
            <rFont val="Tahoma"/>
            <family val="2"/>
          </rPr>
          <t>DR. NISHTHA JAIN:</t>
        </r>
        <r>
          <rPr>
            <sz val="9"/>
            <color indexed="81"/>
            <rFont val="Tahoma"/>
            <family val="2"/>
          </rPr>
          <t xml:space="preserve">
abcd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DR. NISHTHA JAIN</author>
  </authors>
  <commentList>
    <comment ref="D9" authorId="0" shapeId="0" xr:uid="{62302052-0555-4704-ACFB-4C3D100F5A05}">
      <text>
        <r>
          <rPr>
            <b/>
            <sz val="9"/>
            <color indexed="81"/>
            <rFont val="Tahoma"/>
            <family val="2"/>
          </rPr>
          <t>DR. NISHTHA JAIN:</t>
        </r>
        <r>
          <rPr>
            <sz val="9"/>
            <color indexed="81"/>
            <rFont val="Tahoma"/>
            <family val="2"/>
          </rPr>
          <t xml:space="preserve">
July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nishtha jain</author>
  </authors>
  <commentList>
    <comment ref="B4" authorId="0" shapeId="0" xr:uid="{D75AA7CF-BAD5-4FE6-BD8F-4ABAB2ED898D}">
      <text>
        <r>
          <rPr>
            <b/>
            <sz val="9"/>
            <color indexed="81"/>
            <rFont val="Tahoma"/>
            <family val="2"/>
          </rPr>
          <t>nishtha jain:</t>
        </r>
        <r>
          <rPr>
            <sz val="9"/>
            <color indexed="81"/>
            <rFont val="Tahoma"/>
            <family val="2"/>
          </rPr>
          <t xml:space="preserve">
xfmx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nishtha jain</author>
    <author>tc={DA9F22FF-35C7-4F48-BD73-C765623F2F3D}</author>
    <author>tc={C1986A93-F237-4F49-A91D-AA96FE36979C}</author>
  </authors>
  <commentList>
    <comment ref="E5" authorId="0" shapeId="0" xr:uid="{166AFEE0-F4F6-4137-9C14-DC002CB51B31}">
      <text>
        <r>
          <rPr>
            <b/>
            <sz val="9"/>
            <color indexed="81"/>
            <rFont val="Tahoma"/>
            <family val="2"/>
          </rPr>
          <t>nishtha jain:</t>
        </r>
        <r>
          <rPr>
            <sz val="9"/>
            <color indexed="81"/>
            <rFont val="Tahoma"/>
            <family val="2"/>
          </rPr>
          <t xml:space="preserve">
hi
</t>
        </r>
      </text>
    </comment>
    <comment ref="E7" authorId="1" shapeId="0" xr:uid="{DA9F22FF-35C7-4F48-BD73-C765623F2F3D}">
      <text>
        <t xml:space="preserve">[Threaded comment]
Your version of Excel allows you to read this threaded comment; however, any edits to it will get removed if the file is opened in a newer version of Excel. Learn more: https://go.microsoft.com/fwlink/?linkid=870924
Comment:
    Good
</t>
      </text>
    </comment>
    <comment ref="E9" authorId="2" shapeId="0" xr:uid="{C1986A93-F237-4F49-A91D-AA96FE36979C}">
      <text>
        <t>[Threaded comment]
Your version of Excel allows you to read this threaded comment; however, any edits to it will get removed if the file is opened in a newer version of Excel. Learn more: https://go.microsoft.com/fwlink/?linkid=870924
Comment:
    JULY</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697ADF-EF83-444E-B091-89366EEF4000}"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3D7FF55E-5EA3-44FA-B1A7-9B38A1F79D17}" keepAlive="1" name="Query - Cleaned data" description="Connection to the 'Cleaned data' query in the workbook." type="5" refreshedVersion="8" background="1" saveData="1">
    <dbPr connection="Provider=Microsoft.Mashup.OleDb.1;Data Source=$Workbook$;Location=&quot;Cleaned data&quot;;Extended Properties=&quot;&quot;" command="SELECT * FROM [Cleaned data]"/>
  </connection>
  <connection id="3" xr16:uid="{C84E5653-0A8C-4899-8F07-5AB2A3B5E77A}" keepAlive="1" name="Query - New merged table" description="Connection to the 'New merged table' query in the workbook." type="5" refreshedVersion="8" background="1" saveData="1">
    <dbPr connection="Provider=Microsoft.Mashup.OleDb.1;Data Source=$Workbook$;Location=&quot;New merged table&quot;;Extended Properties=&quot;&quot;" command="SELECT * FROM [New merged table]"/>
  </connection>
  <connection id="4" xr16:uid="{F2585507-783C-46BB-B71A-ED91EDA2961E}"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5" xr16:uid="{A8215D0A-3463-4478-868E-E94A7BD29D21}" keepAlive="1" name="Query - Sheet2" description="Connection to the 'Sheet2' query in the workbook." type="5" refreshedVersion="8" background="1" saveData="1">
    <dbPr connection="Provider=Microsoft.Mashup.OleDb.1;Data Source=$Workbook$;Location=Sheet2;Extended Properties=&quot;&quot;" command="SELECT * FROM [Sheet2]"/>
  </connection>
  <connection id="6" xr16:uid="{64A02592-523E-4C0B-96F6-947FD37AD7AF}" keepAlive="1" name="Query - Sheet5" description="Connection to the 'Sheet5' query in the workbook." type="5" refreshedVersion="8" background="1" saveData="1">
    <dbPr connection="Provider=Microsoft.Mashup.OleDb.1;Data Source=$Workbook$;Location=Sheet5;Extended Properties=&quot;&quot;" command="SELECT * FROM [Sheet5]"/>
  </connection>
  <connection id="7" xr16:uid="{F0EE3DEB-813F-4689-ADB5-7106ADCA355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8" xr16:uid="{75C08374-67BA-47CA-847D-00C514895C93}"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9" xr16:uid="{7AF63E01-AE1A-4BE2-8999-E4DB9A7F7B9C}"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10" xr16:uid="{7D4AEB99-A4DA-464E-9350-0EBCC4732E93}" keepAlive="1" name="Query - Unclean data" description="Connection to the 'Unclean data' query in the workbook." type="5" refreshedVersion="0" background="1" saveData="1">
    <dbPr connection="Provider=Microsoft.Mashup.OleDb.1;Data Source=$Workbook$;Location=&quot;Unclean data&quot;;Extended Properties=&quot;&quot;" command="SELECT * FROM [Unclean data]"/>
  </connection>
  <connection id="11" xr16:uid="{C41751C8-65DC-4513-91B0-8950C15B65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AF6C6A6F-564C-42B5-82C9-4638111AE257}" name="WorksheetConnection_Charts' data 2!$B$2:$C$20" type="102" refreshedVersion="8" minRefreshableVersion="5">
    <extLst>
      <ext xmlns:x15="http://schemas.microsoft.com/office/spreadsheetml/2010/11/main" uri="{DE250136-89BD-433C-8126-D09CA5730AF9}">
        <x15:connection id="Range">
          <x15:rangePr sourceName="_xlcn.WorksheetConnection_Chartsdata2B2C20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<sst xmlns="http://schemas.openxmlformats.org/spreadsheetml/2006/main" count="3692" uniqueCount="698">
  <si>
    <t>January</t>
  </si>
  <si>
    <t>Pencils</t>
  </si>
  <si>
    <t>February</t>
  </si>
  <si>
    <t>Pens</t>
  </si>
  <si>
    <t>March</t>
  </si>
  <si>
    <t>Colors</t>
  </si>
  <si>
    <t>April</t>
  </si>
  <si>
    <t>Highlighters</t>
  </si>
  <si>
    <t>May</t>
  </si>
  <si>
    <t>Scales/Rulers</t>
  </si>
  <si>
    <t>June</t>
  </si>
  <si>
    <t>Novels</t>
  </si>
  <si>
    <t>July</t>
  </si>
  <si>
    <t>Magazines</t>
  </si>
  <si>
    <t>S.No.</t>
  </si>
  <si>
    <t>Months</t>
  </si>
  <si>
    <t>Items</t>
  </si>
  <si>
    <t>Price</t>
  </si>
  <si>
    <t>Date</t>
  </si>
  <si>
    <t>Region</t>
  </si>
  <si>
    <t>East</t>
  </si>
  <si>
    <t>Footwear</t>
  </si>
  <si>
    <t>Mobile</t>
  </si>
  <si>
    <t>Smartwatch</t>
  </si>
  <si>
    <t>North</t>
  </si>
  <si>
    <t>Bass Headphones</t>
  </si>
  <si>
    <t>Beard trimmer</t>
  </si>
  <si>
    <t>Deodarant</t>
  </si>
  <si>
    <t>Shaving cream</t>
  </si>
  <si>
    <t>Wrist watch</t>
  </si>
  <si>
    <t>South</t>
  </si>
  <si>
    <t>Earbuds</t>
  </si>
  <si>
    <t>Jackets</t>
  </si>
  <si>
    <t>West</t>
  </si>
  <si>
    <t>Hair dryer</t>
  </si>
  <si>
    <t>Month</t>
  </si>
  <si>
    <t>Product</t>
  </si>
  <si>
    <t>Sales</t>
  </si>
  <si>
    <t>Books</t>
  </si>
  <si>
    <t>SUM</t>
  </si>
  <si>
    <t>PRODUCT</t>
  </si>
  <si>
    <t>Notebooks</t>
  </si>
  <si>
    <t>AVERAGE</t>
  </si>
  <si>
    <t>Total</t>
  </si>
  <si>
    <t>COUNT</t>
  </si>
  <si>
    <t>COUNTA</t>
  </si>
  <si>
    <t>MINIMUM</t>
  </si>
  <si>
    <t>COUNTBLANK</t>
  </si>
  <si>
    <t>MAXIMUM</t>
  </si>
  <si>
    <t>fgh</t>
  </si>
  <si>
    <t>but</t>
  </si>
  <si>
    <t>not</t>
  </si>
  <si>
    <t>First name</t>
  </si>
  <si>
    <t>Last Name</t>
  </si>
  <si>
    <t>Harvey</t>
  </si>
  <si>
    <t>Monday</t>
  </si>
  <si>
    <t>Malik</t>
  </si>
  <si>
    <t>Tuesday</t>
  </si>
  <si>
    <t>Johnson</t>
  </si>
  <si>
    <t>Wednesday</t>
  </si>
  <si>
    <t>Sanjay</t>
  </si>
  <si>
    <t>Gupta</t>
  </si>
  <si>
    <t>Thursday</t>
  </si>
  <si>
    <t>Harry</t>
  </si>
  <si>
    <t>Potter</t>
  </si>
  <si>
    <t>Friday</t>
  </si>
  <si>
    <t>Arnav</t>
  </si>
  <si>
    <t>Tripathi</t>
  </si>
  <si>
    <t>Saturday</t>
  </si>
  <si>
    <t>Sushma</t>
  </si>
  <si>
    <t>Sharma</t>
  </si>
  <si>
    <t>Sunday</t>
  </si>
  <si>
    <t>Jacob</t>
  </si>
  <si>
    <t>Peter</t>
  </si>
  <si>
    <t>Alisha</t>
  </si>
  <si>
    <t>Sinha</t>
  </si>
  <si>
    <t>Alex</t>
  </si>
  <si>
    <t>Samson</t>
  </si>
  <si>
    <t>Rajul</t>
  </si>
  <si>
    <t>Kaur</t>
  </si>
  <si>
    <t>Rocky</t>
  </si>
  <si>
    <t>Pattinson</t>
  </si>
  <si>
    <t>TOTAL</t>
  </si>
  <si>
    <t>MIN</t>
  </si>
  <si>
    <t>Selling Price (Revenue)</t>
  </si>
  <si>
    <t>Cost Price (Expenses)</t>
  </si>
  <si>
    <t>Profit</t>
  </si>
  <si>
    <t>Profit %age</t>
  </si>
  <si>
    <t>East Total</t>
  </si>
  <si>
    <t>North Total</t>
  </si>
  <si>
    <t>South Total</t>
  </si>
  <si>
    <t>West Total</t>
  </si>
  <si>
    <t>Grand Total</t>
  </si>
  <si>
    <t>SUBTOTAL</t>
  </si>
  <si>
    <t>Grand Average</t>
  </si>
  <si>
    <t>FUNCTIONS / NUMBERS</t>
  </si>
  <si>
    <t>ROUND (upto 0 decimal place)</t>
  </si>
  <si>
    <t>ROUND (upto 1 decimal place)</t>
  </si>
  <si>
    <t>ROUND (upto 2 decimal place)</t>
  </si>
  <si>
    <t>ROUND (upto 3 decimal place)</t>
  </si>
  <si>
    <t>ROUNDUP (upto 0 decimal place)</t>
  </si>
  <si>
    <t>ROUNDUP (upto 1 decimal place)</t>
  </si>
  <si>
    <t>ROUNDUP (upto 2 decimal place)</t>
  </si>
  <si>
    <t>ROUNDUP (upto 3 decimal place)</t>
  </si>
  <si>
    <t>ROUNDDOWN (upto 0 decimal place)</t>
  </si>
  <si>
    <t>ROUNDDOWN(upto 1 decimal place)</t>
  </si>
  <si>
    <t>ROUNDDOWN(upto 2 decimal place)</t>
  </si>
  <si>
    <t>ROUNDDOWN (upto 3 decimal place)</t>
  </si>
  <si>
    <t>MROUND (multiple of 10)</t>
  </si>
  <si>
    <t>MROUND (multiple of 7)</t>
  </si>
  <si>
    <t>MROUND (multiple of 3)</t>
  </si>
  <si>
    <t>MROUND (multiple of 2)</t>
  </si>
  <si>
    <t>Names</t>
  </si>
  <si>
    <t>Ananya Pandey</t>
  </si>
  <si>
    <t>Arohi Sharma</t>
  </si>
  <si>
    <t>Mohandas Karamchand Gandhi</t>
  </si>
  <si>
    <t>Anshu Poonawala</t>
  </si>
  <si>
    <t>Rahul Singh Sharma</t>
  </si>
  <si>
    <t>Neil Armstrong</t>
  </si>
  <si>
    <t>Avnish Agrawal</t>
  </si>
  <si>
    <t>Shashank Khan</t>
  </si>
  <si>
    <t>Ananya     Pandey</t>
  </si>
  <si>
    <t xml:space="preserve">       Arohi Sharma</t>
  </si>
  <si>
    <t>Mohandas    Karamchand G    andhi</t>
  </si>
  <si>
    <t xml:space="preserve">Anshu          Poonawala      </t>
  </si>
  <si>
    <t xml:space="preserve">Rahul Singh Sharma      </t>
  </si>
  <si>
    <t xml:space="preserve">  Neil   Armstrong</t>
  </si>
  <si>
    <t xml:space="preserve">     Shashank Khan</t>
  </si>
  <si>
    <t>You don't always know what you don't know.</t>
  </si>
  <si>
    <t>abc</t>
  </si>
  <si>
    <t>xyz</t>
  </si>
  <si>
    <t>def</t>
  </si>
  <si>
    <t>uvw</t>
  </si>
  <si>
    <t>Comparative / Logical operators</t>
  </si>
  <si>
    <t>=</t>
  </si>
  <si>
    <t>&gt;</t>
  </si>
  <si>
    <t>&lt;</t>
  </si>
  <si>
    <t>&gt;=</t>
  </si>
  <si>
    <t>&lt;=</t>
  </si>
  <si>
    <t>&lt;&gt;</t>
  </si>
  <si>
    <t>No</t>
  </si>
  <si>
    <t>Yes</t>
  </si>
  <si>
    <t>Yes, No</t>
  </si>
  <si>
    <t>10, 20</t>
  </si>
  <si>
    <t>YES, NO</t>
  </si>
  <si>
    <t>Expensive, Inexpensive</t>
  </si>
  <si>
    <t>Profit (SP -  CP)</t>
  </si>
  <si>
    <t>Profit (SP - CP (10000))</t>
  </si>
  <si>
    <t>Divide by</t>
  </si>
  <si>
    <t>Cost Price (Expense)</t>
  </si>
  <si>
    <t>SUMIF</t>
  </si>
  <si>
    <t>AVERAGEIF</t>
  </si>
  <si>
    <t>NESTEDIF</t>
  </si>
  <si>
    <t>&gt;40000</t>
  </si>
  <si>
    <t>&lt;=30000</t>
  </si>
  <si>
    <t>Sumifs</t>
  </si>
  <si>
    <t>Averageifs</t>
  </si>
  <si>
    <t>Minifs</t>
  </si>
  <si>
    <t>Maxifs</t>
  </si>
  <si>
    <t>&lt;30000</t>
  </si>
  <si>
    <t>SUMIFS</t>
  </si>
  <si>
    <t>DSUM</t>
  </si>
  <si>
    <t>DAVERAGE</t>
  </si>
  <si>
    <t>DMIN</t>
  </si>
  <si>
    <t>DMAX</t>
  </si>
  <si>
    <t>HIGHER</t>
  </si>
  <si>
    <t>DCOUNT</t>
  </si>
  <si>
    <t>DCOUNTA</t>
  </si>
  <si>
    <t>DPRODUCT</t>
  </si>
  <si>
    <t>LOWER</t>
  </si>
  <si>
    <t>AND, OR, NOT, XOR</t>
  </si>
  <si>
    <t>Math</t>
  </si>
  <si>
    <t>English</t>
  </si>
  <si>
    <t>Science</t>
  </si>
  <si>
    <t>Harish</t>
  </si>
  <si>
    <t>Seeta</t>
  </si>
  <si>
    <t>Aryan</t>
  </si>
  <si>
    <t>Sushant</t>
  </si>
  <si>
    <t>Mayara</t>
  </si>
  <si>
    <t>Neelam</t>
  </si>
  <si>
    <t>Uday</t>
  </si>
  <si>
    <t>Preetam</t>
  </si>
  <si>
    <t>Preeti</t>
  </si>
  <si>
    <t>OR</t>
  </si>
  <si>
    <t>AND</t>
  </si>
  <si>
    <t>Logical Analysis (OR)</t>
  </si>
  <si>
    <t>Result</t>
  </si>
  <si>
    <t>Logical Analysis (AND)</t>
  </si>
  <si>
    <t>Logical Analysis (XOR)</t>
  </si>
  <si>
    <t>Formula used</t>
  </si>
  <si>
    <t>1*2+3*4/2</t>
  </si>
  <si>
    <t>2*3+3*4/3</t>
  </si>
  <si>
    <t>3*4-3*4/2</t>
  </si>
  <si>
    <t>1*(2+3)*4/3</t>
  </si>
  <si>
    <t>1*2/5+4-3</t>
  </si>
  <si>
    <t>NAMES</t>
  </si>
  <si>
    <t>First Name</t>
  </si>
  <si>
    <t>Ananya</t>
  </si>
  <si>
    <t>Pandey</t>
  </si>
  <si>
    <t>Ananya,,Pandey</t>
  </si>
  <si>
    <t>Arohi</t>
  </si>
  <si>
    <t>Arohi,,Sharma</t>
  </si>
  <si>
    <t>Mohandas Gandhi</t>
  </si>
  <si>
    <t>Mohandas</t>
  </si>
  <si>
    <t>Gandhi</t>
  </si>
  <si>
    <t>Mohandas,,Gandhi</t>
  </si>
  <si>
    <t>Mohan Kalra</t>
  </si>
  <si>
    <t>Mohan</t>
  </si>
  <si>
    <t>Kalra</t>
  </si>
  <si>
    <t>Mohan,,Kalra</t>
  </si>
  <si>
    <t>Anshu</t>
  </si>
  <si>
    <t>Poonawala</t>
  </si>
  <si>
    <t>Anshu,,Poonawala</t>
  </si>
  <si>
    <t>Rahul Sharma</t>
  </si>
  <si>
    <t>Rahul</t>
  </si>
  <si>
    <t>Rahul,,Sharma</t>
  </si>
  <si>
    <t>Neil</t>
  </si>
  <si>
    <t>Armstrong</t>
  </si>
  <si>
    <t>Neil,,Armstrong</t>
  </si>
  <si>
    <t>Avnish</t>
  </si>
  <si>
    <t>Agrawal</t>
  </si>
  <si>
    <t>Avnish,,Agrawal</t>
  </si>
  <si>
    <t>Shashank</t>
  </si>
  <si>
    <t>Khan</t>
  </si>
  <si>
    <t>Shashank,,Khan</t>
  </si>
  <si>
    <t>Ananya,Pandey</t>
  </si>
  <si>
    <t>Arohi,Sharma</t>
  </si>
  <si>
    <t>1. Ananya//Pandey</t>
  </si>
  <si>
    <t>Mohandas,Gandhi</t>
  </si>
  <si>
    <t>2. Arohi//Sharma</t>
  </si>
  <si>
    <t>Mohan,Kalra</t>
  </si>
  <si>
    <t>3. Mohandas/Gandhi</t>
  </si>
  <si>
    <t>Anshu,Poonawala</t>
  </si>
  <si>
    <t>4. Mohan//Kalra</t>
  </si>
  <si>
    <t>Rahul,Sharma</t>
  </si>
  <si>
    <t>5. Anshu/Poonawala</t>
  </si>
  <si>
    <t>Neil,Armstrong</t>
  </si>
  <si>
    <t>6. Rahul//Sharma</t>
  </si>
  <si>
    <t>Avnish,Agrawal</t>
  </si>
  <si>
    <t>7. Neil/Armstrong</t>
  </si>
  <si>
    <t>Shashank,Khan</t>
  </si>
  <si>
    <t>8. Avnish//Agrawal</t>
  </si>
  <si>
    <t>9. Shashank/Khan</t>
  </si>
  <si>
    <t>Ananya;Pandey</t>
  </si>
  <si>
    <t>Arohi;Sharma</t>
  </si>
  <si>
    <t>Mohandas;Gandhi</t>
  </si>
  <si>
    <t>Mohan;Kalra</t>
  </si>
  <si>
    <t>Anshu;Poonawala</t>
  </si>
  <si>
    <t>Rahul;Sharma</t>
  </si>
  <si>
    <t>Neil;Armstrong</t>
  </si>
  <si>
    <t>Avnish;Agrawal</t>
  </si>
  <si>
    <t>Shashank;Khan</t>
  </si>
  <si>
    <t>Joined</t>
  </si>
  <si>
    <t>Separate 1</t>
  </si>
  <si>
    <t>Separate 2</t>
  </si>
  <si>
    <t>In date format</t>
  </si>
  <si>
    <t>Separate 3</t>
  </si>
  <si>
    <t>08</t>
  </si>
  <si>
    <t>09</t>
  </si>
  <si>
    <t>10</t>
  </si>
  <si>
    <t>11</t>
  </si>
  <si>
    <t>12</t>
  </si>
  <si>
    <t>13</t>
  </si>
  <si>
    <t>14</t>
  </si>
  <si>
    <t>15</t>
  </si>
  <si>
    <t>16</t>
  </si>
  <si>
    <t>17</t>
  </si>
  <si>
    <t>18</t>
  </si>
  <si>
    <t>19</t>
  </si>
  <si>
    <t>Randomly arranged words</t>
  </si>
  <si>
    <t>Bass Headphones=20000</t>
  </si>
  <si>
    <t>Earbuds;10000</t>
  </si>
  <si>
    <t>Shaving Cream;*2000</t>
  </si>
  <si>
    <t>Jackets:,10000</t>
  </si>
  <si>
    <t>Beardtrimmer:*&amp;5000</t>
  </si>
  <si>
    <t>Earbuds=10000, Jackets=4000, beard trimmer=30000</t>
  </si>
  <si>
    <t>Hairdryer;2000, Shaving cream=1000, Bodylotion*3000, Showergel=2500, Facewash&amp;1000</t>
  </si>
  <si>
    <t>Random text</t>
  </si>
  <si>
    <t>California = 39648 / 0.03</t>
  </si>
  <si>
    <t>Florida = 22197 / 0.10</t>
  </si>
  <si>
    <t>New York = 19191 / -0.04</t>
  </si>
  <si>
    <t>Illinois = 12518 / -0.04</t>
  </si>
  <si>
    <t>Georgia = 36299 / 0.09</t>
  </si>
  <si>
    <t>Virginia = 86321 / 0.5</t>
  </si>
  <si>
    <t>Oklahoma = 40017 / 0.24</t>
  </si>
  <si>
    <t>West Virginia = 17571 / -0.78</t>
  </si>
  <si>
    <t>Hawaii = 14009 / -0.1</t>
  </si>
  <si>
    <t>New Hampshire = 13789 / 0.5</t>
  </si>
  <si>
    <t>Maine = 15967 / 0.08</t>
  </si>
  <si>
    <t>Montana = 10311 / 0.75</t>
  </si>
  <si>
    <t>Rhode Island = 10658 / 0.1</t>
  </si>
  <si>
    <t>California = 39648 = / 0.03</t>
  </si>
  <si>
    <t>Florida = 22197 = / 0.10</t>
  </si>
  <si>
    <t>New York = 19191 = / -0.04</t>
  </si>
  <si>
    <t>Illinois = 12518 = / -0.04</t>
  </si>
  <si>
    <t>Georgia = 36299 = / 0.09</t>
  </si>
  <si>
    <t>Virginia = 86321 = / 0.5</t>
  </si>
  <si>
    <t>Oklahoma = 40017 / = 0.24</t>
  </si>
  <si>
    <t>West Virginia = 17571 = / -0.78</t>
  </si>
  <si>
    <t>Hawaii = 14009 / = -0.1</t>
  </si>
  <si>
    <t>New Hampshire = 13789 = / 0.5</t>
  </si>
  <si>
    <t>Maine = 15967 / = 0.08</t>
  </si>
  <si>
    <t>Montana = 10311 = / 0.75</t>
  </si>
  <si>
    <t>Rhode Island = 10658 / = 0.1</t>
  </si>
  <si>
    <t>Number</t>
  </si>
  <si>
    <t>Growth rate</t>
  </si>
  <si>
    <t>Numbers</t>
  </si>
  <si>
    <t>S. No.</t>
  </si>
  <si>
    <t>Cost Price</t>
  </si>
  <si>
    <t>Selling Price</t>
  </si>
  <si>
    <t>Whole number</t>
  </si>
  <si>
    <t>Text length</t>
  </si>
  <si>
    <t>Time</t>
  </si>
  <si>
    <t>Date 2</t>
  </si>
  <si>
    <t>Time 2</t>
  </si>
  <si>
    <t>Student's Name</t>
  </si>
  <si>
    <t>Student's grade</t>
  </si>
  <si>
    <t>Sasha</t>
  </si>
  <si>
    <t>Ages</t>
  </si>
  <si>
    <t>Grades</t>
  </si>
  <si>
    <t>Did the student pass?</t>
  </si>
  <si>
    <t>Student's age (in years)</t>
  </si>
  <si>
    <t>NO</t>
  </si>
  <si>
    <t>Kritika Kumari</t>
  </si>
  <si>
    <t>Rajnish Gupta</t>
  </si>
  <si>
    <t>Sushant Singh</t>
  </si>
  <si>
    <t>Adarsh Singh</t>
  </si>
  <si>
    <t>Kritika Sharma</t>
  </si>
  <si>
    <t>YES</t>
  </si>
  <si>
    <t>Alphabets</t>
  </si>
  <si>
    <t>Symbols</t>
  </si>
  <si>
    <t>A</t>
  </si>
  <si>
    <t>B</t>
  </si>
  <si>
    <t>C</t>
  </si>
  <si>
    <t>E</t>
  </si>
  <si>
    <t>G</t>
  </si>
  <si>
    <t>D</t>
  </si>
  <si>
    <t>F</t>
  </si>
  <si>
    <t>H</t>
  </si>
  <si>
    <t>@</t>
  </si>
  <si>
    <t>#</t>
  </si>
  <si>
    <t>%</t>
  </si>
  <si>
    <t>*</t>
  </si>
  <si>
    <t>!</t>
  </si>
  <si>
    <t>?</t>
  </si>
  <si>
    <t>:</t>
  </si>
  <si>
    <t>;</t>
  </si>
  <si>
    <t>Data Types</t>
  </si>
  <si>
    <t>Subcategories</t>
  </si>
  <si>
    <t>with named ranges</t>
  </si>
  <si>
    <t>Lookup values</t>
  </si>
  <si>
    <t>Positions from Match function</t>
  </si>
  <si>
    <t>Row numbers</t>
  </si>
  <si>
    <t>Column numbers</t>
  </si>
  <si>
    <t>M</t>
  </si>
  <si>
    <t>DD</t>
  </si>
  <si>
    <t>MM</t>
  </si>
  <si>
    <t>DDD</t>
  </si>
  <si>
    <t>MMM</t>
  </si>
  <si>
    <t>DDDD</t>
  </si>
  <si>
    <t>MMMM</t>
  </si>
  <si>
    <t>YY</t>
  </si>
  <si>
    <t>YYYY</t>
  </si>
  <si>
    <t>01</t>
  </si>
  <si>
    <t>02</t>
  </si>
  <si>
    <t>Wed</t>
  </si>
  <si>
    <t>Feb</t>
  </si>
  <si>
    <t>dd/mm/yy</t>
  </si>
  <si>
    <t>mm/dd/yy</t>
  </si>
  <si>
    <t>dddd/mm/yy</t>
  </si>
  <si>
    <t>dddd/mmmm/yyyy</t>
  </si>
  <si>
    <t>dd-mm-yyyy-dddd</t>
  </si>
  <si>
    <t>Aman Sharma</t>
  </si>
  <si>
    <t>Puneet Singh</t>
  </si>
  <si>
    <t>Ishan Saxena</t>
  </si>
  <si>
    <t>Mayra khan</t>
  </si>
  <si>
    <t>Employee's Name</t>
  </si>
  <si>
    <t>Graduation score</t>
  </si>
  <si>
    <t>Salary per annum</t>
  </si>
  <si>
    <t>Garima Singh</t>
  </si>
  <si>
    <t>Sayali Desai</t>
  </si>
  <si>
    <t>Pooja Gupta</t>
  </si>
  <si>
    <t>Ashish Singh</t>
  </si>
  <si>
    <t>Approximate match</t>
  </si>
  <si>
    <t>Ira Khan</t>
  </si>
  <si>
    <t>Nikhil Singh</t>
  </si>
  <si>
    <t>Alok Sharma</t>
  </si>
  <si>
    <t>Exact / True match</t>
  </si>
  <si>
    <t>Year wise prices</t>
  </si>
  <si>
    <t>Year</t>
  </si>
  <si>
    <t>Prices</t>
  </si>
  <si>
    <t>Deodarant for men</t>
  </si>
  <si>
    <t>Deodarant for women</t>
  </si>
  <si>
    <t>Men's Deodarant</t>
  </si>
  <si>
    <t>Women's Deodarant</t>
  </si>
  <si>
    <t>Shaving brush</t>
  </si>
  <si>
    <t>Start date</t>
  </si>
  <si>
    <t>End date</t>
  </si>
  <si>
    <t>Datedifference</t>
  </si>
  <si>
    <t>Answer</t>
  </si>
  <si>
    <t>01/12/2021</t>
  </si>
  <si>
    <t>Y</t>
  </si>
  <si>
    <t>MD</t>
  </si>
  <si>
    <t>YM</t>
  </si>
  <si>
    <t>YD</t>
  </si>
  <si>
    <t>Overall difference in years</t>
  </si>
  <si>
    <t>Overall difference in months</t>
  </si>
  <si>
    <t>Overall difference in days</t>
  </si>
  <si>
    <t>Exact difference in days, ignores years</t>
  </si>
  <si>
    <t>Exact difference in months, ignores days and years</t>
  </si>
  <si>
    <t>Exact difference in days, ignores months and years</t>
  </si>
  <si>
    <t>Today</t>
  </si>
  <si>
    <t>Now</t>
  </si>
  <si>
    <t>Add/Subtract days</t>
  </si>
  <si>
    <t>Edate</t>
  </si>
  <si>
    <t>EOMonth</t>
  </si>
  <si>
    <t>Weekday</t>
  </si>
  <si>
    <t>Weeknum</t>
  </si>
  <si>
    <t>Days</t>
  </si>
  <si>
    <t>Datedif</t>
  </si>
  <si>
    <t>Networkdays</t>
  </si>
  <si>
    <t>Networkdays.intl</t>
  </si>
  <si>
    <t>Dates to days</t>
  </si>
  <si>
    <t>FUNCTIONS</t>
  </si>
  <si>
    <t>Calculate age</t>
  </si>
  <si>
    <t>Date, Month, Year</t>
  </si>
  <si>
    <t>No. of Months</t>
  </si>
  <si>
    <t>No. of Days</t>
  </si>
  <si>
    <t>Current date</t>
  </si>
  <si>
    <t>Current time</t>
  </si>
  <si>
    <t>Units</t>
  </si>
  <si>
    <t>DATE</t>
  </si>
  <si>
    <t>Day</t>
  </si>
  <si>
    <t>month</t>
  </si>
  <si>
    <t>Edate (add/subtract)</t>
  </si>
  <si>
    <t>EOMONTH</t>
  </si>
  <si>
    <t>DOB</t>
  </si>
  <si>
    <t>Years</t>
  </si>
  <si>
    <t>Independence Day</t>
  </si>
  <si>
    <t>Gandhi Jayanti</t>
  </si>
  <si>
    <t>Republic day</t>
  </si>
  <si>
    <t>August</t>
  </si>
  <si>
    <t>Profit / Loss</t>
  </si>
  <si>
    <t>Column Labels</t>
  </si>
  <si>
    <t>Row Labels</t>
  </si>
  <si>
    <t>Sum of Profit / Loss</t>
  </si>
  <si>
    <t>Sum of Selling Price</t>
  </si>
  <si>
    <t>2000</t>
  </si>
  <si>
    <t>Jan</t>
  </si>
  <si>
    <t>2004</t>
  </si>
  <si>
    <t>Mar</t>
  </si>
  <si>
    <t>2005</t>
  </si>
  <si>
    <t>Apr</t>
  </si>
  <si>
    <t>2007</t>
  </si>
  <si>
    <t>2010</t>
  </si>
  <si>
    <t>Aug</t>
  </si>
  <si>
    <t>2000 Total</t>
  </si>
  <si>
    <t>2004 Total</t>
  </si>
  <si>
    <t>2005 Total</t>
  </si>
  <si>
    <t>2007 Total</t>
  </si>
  <si>
    <t>2010 Total</t>
  </si>
  <si>
    <t>Ajeet Sharma</t>
  </si>
  <si>
    <t>Customer ID</t>
  </si>
  <si>
    <t>Revenue</t>
  </si>
  <si>
    <t>Cost</t>
  </si>
  <si>
    <t>Order Status</t>
  </si>
  <si>
    <t>Open</t>
  </si>
  <si>
    <t>325698 - Cascade Grovers</t>
  </si>
  <si>
    <t>XXXXXX - Promo</t>
  </si>
  <si>
    <t>152689 - Bake and Shake</t>
  </si>
  <si>
    <t>985245 - Small bites</t>
  </si>
  <si>
    <t>785432 - Meet and Eat</t>
  </si>
  <si>
    <t>452584 - FInd yours</t>
  </si>
  <si>
    <t>No. of items ordered</t>
  </si>
  <si>
    <t>Delivered</t>
  </si>
  <si>
    <t>Restaurant IDs</t>
  </si>
  <si>
    <t>Restaurant names</t>
  </si>
  <si>
    <t>Billing amounts</t>
  </si>
  <si>
    <t xml:space="preserve"> Small bites</t>
  </si>
  <si>
    <t xml:space="preserve"> FInd yours</t>
  </si>
  <si>
    <t xml:space="preserve"> Bake and Shake</t>
  </si>
  <si>
    <t xml:space="preserve"> Meet and Eat</t>
  </si>
  <si>
    <t xml:space="preserve"> Cascade Grovers</t>
  </si>
  <si>
    <t>Completed</t>
  </si>
  <si>
    <t>SUSHANT SHARMA</t>
  </si>
  <si>
    <t>JOHN JACOBS</t>
  </si>
  <si>
    <t>aiYSHA SINHA</t>
  </si>
  <si>
    <t>ALISHA GADGE</t>
  </si>
  <si>
    <t>ARNAV KUMAR</t>
  </si>
  <si>
    <t>february</t>
  </si>
  <si>
    <t>books</t>
  </si>
  <si>
    <t>Full Name</t>
  </si>
  <si>
    <t>Steve Harvey</t>
  </si>
  <si>
    <t>Reshma Malik</t>
  </si>
  <si>
    <t>Garris Johnson</t>
  </si>
  <si>
    <t>Sanjay Gupta</t>
  </si>
  <si>
    <t>Harry Potter</t>
  </si>
  <si>
    <t>Arnav Tripathi</t>
  </si>
  <si>
    <t>Sushma Sharma</t>
  </si>
  <si>
    <t>Jacob Peter</t>
  </si>
  <si>
    <t>Alisha Sinha</t>
  </si>
  <si>
    <t>Alex Samson</t>
  </si>
  <si>
    <t>Rajul Kaur</t>
  </si>
  <si>
    <t>Rocky Pattinson</t>
  </si>
  <si>
    <t xml:space="preserve">and </t>
  </si>
  <si>
    <t xml:space="preserve">Steve </t>
  </si>
  <si>
    <t xml:space="preserve">Reshma </t>
  </si>
  <si>
    <t xml:space="preserve">Garris </t>
  </si>
  <si>
    <t>skfdhsnkf</t>
  </si>
  <si>
    <t>Profit/50</t>
  </si>
  <si>
    <t>XSUM(D3:D8)</t>
  </si>
  <si>
    <t>XAVERAGE(D3:D8)</t>
  </si>
  <si>
    <t>XMIN(D3:D8)</t>
  </si>
  <si>
    <t>Milind Kumar Kalra</t>
  </si>
  <si>
    <t xml:space="preserve">           Milind     Kalra</t>
  </si>
  <si>
    <t>UPPER</t>
  </si>
  <si>
    <t>PROPER</t>
  </si>
  <si>
    <t>LEFT</t>
  </si>
  <si>
    <t>RIGHT</t>
  </si>
  <si>
    <t>MID</t>
  </si>
  <si>
    <t>LENGTH</t>
  </si>
  <si>
    <t>TRIM</t>
  </si>
  <si>
    <t>FIND</t>
  </si>
  <si>
    <t>SEARCH</t>
  </si>
  <si>
    <t>SUBSTITUTE</t>
  </si>
  <si>
    <t>REPLACE</t>
  </si>
  <si>
    <t>CONCATENATE</t>
  </si>
  <si>
    <t>XOR</t>
  </si>
  <si>
    <t>GK</t>
  </si>
  <si>
    <t>XOR result - TRUE,  when the number of valid/correct inputs is odd.
XOR result - FALSE,  when the number of valid/correct inputs is even.</t>
  </si>
  <si>
    <t>Dates to Days</t>
  </si>
  <si>
    <t>Does not work the same for foreign countries</t>
  </si>
  <si>
    <t>&lt;-- Work on it !</t>
  </si>
  <si>
    <t>Add/Subtract months</t>
  </si>
  <si>
    <t>&gt;20000</t>
  </si>
  <si>
    <t>XYZ</t>
  </si>
  <si>
    <t>ABC</t>
  </si>
  <si>
    <t>ARRAY</t>
  </si>
  <si>
    <t>&gt;3000</t>
  </si>
  <si>
    <t>Bass headphones</t>
  </si>
  <si>
    <t>Perfume</t>
  </si>
  <si>
    <t>Shaving</t>
  </si>
  <si>
    <t>2-D data</t>
  </si>
  <si>
    <t>wildcard</t>
  </si>
  <si>
    <t>Values from Index function - 1D</t>
  </si>
  <si>
    <t>Values from Index function - 2D</t>
  </si>
  <si>
    <t>Sample Data used</t>
  </si>
  <si>
    <t>OFFSET(C4,0,0)</t>
  </si>
  <si>
    <t>OFFSET(C4,1,0)</t>
  </si>
  <si>
    <t>OFFSET(C4,0,1)</t>
  </si>
  <si>
    <t>OFFSET(C4,1,1)</t>
  </si>
  <si>
    <t>OFFSET(D4,0,1)</t>
  </si>
  <si>
    <t>OFFSET(D4,-1,-1)</t>
  </si>
  <si>
    <t>SUM(OFFSET(C4,0,0,3,1))</t>
  </si>
  <si>
    <t>OFFSET(reference, rows, columns, [height], [width])</t>
  </si>
  <si>
    <t>Sum of Last 3 rows</t>
  </si>
  <si>
    <t>Results</t>
  </si>
  <si>
    <t>Formulae</t>
  </si>
  <si>
    <t>Oct.</t>
  </si>
  <si>
    <t>Sept</t>
  </si>
  <si>
    <t>DATES</t>
  </si>
  <si>
    <t>TIME</t>
  </si>
  <si>
    <t>Working hours/ duration/ interval….</t>
  </si>
  <si>
    <t>MATH</t>
  </si>
  <si>
    <t>SCIENCE</t>
  </si>
  <si>
    <t>ENGLISH</t>
  </si>
  <si>
    <t>Arun</t>
  </si>
  <si>
    <t>Bunty</t>
  </si>
  <si>
    <t>Chinmay</t>
  </si>
  <si>
    <t>Dinesh</t>
  </si>
  <si>
    <t>Erina</t>
  </si>
  <si>
    <t>Fiza</t>
  </si>
  <si>
    <t>Gaurav</t>
  </si>
  <si>
    <t>Hitesh</t>
  </si>
  <si>
    <t>Inder</t>
  </si>
  <si>
    <t>Jaya</t>
  </si>
  <si>
    <t>Karishma</t>
  </si>
  <si>
    <t>Lakshya</t>
  </si>
  <si>
    <t>Random Numbers</t>
  </si>
  <si>
    <t>Bablu</t>
  </si>
  <si>
    <t>Regions</t>
  </si>
  <si>
    <t>Mumbai</t>
  </si>
  <si>
    <t>Delhi</t>
  </si>
  <si>
    <t>Jalandhar</t>
  </si>
  <si>
    <t>Bhopal</t>
  </si>
  <si>
    <t>Goa</t>
  </si>
  <si>
    <t>Jhansi</t>
  </si>
  <si>
    <t>Bangalore</t>
  </si>
  <si>
    <t>Pune</t>
  </si>
  <si>
    <t>Kolkata</t>
  </si>
  <si>
    <t>Ratan Sharma</t>
  </si>
  <si>
    <t>Pooja Gogia</t>
  </si>
  <si>
    <t>Ayesha khan</t>
  </si>
  <si>
    <t>Kanpur</t>
  </si>
  <si>
    <t>UNIQUE Function</t>
  </si>
  <si>
    <t>Mobile Production</t>
  </si>
  <si>
    <t>Parts</t>
  </si>
  <si>
    <t>Costing</t>
  </si>
  <si>
    <t>LCD Screen</t>
  </si>
  <si>
    <t>Touchscreen digitizer</t>
  </si>
  <si>
    <t>Speakers</t>
  </si>
  <si>
    <t>Microphones</t>
  </si>
  <si>
    <t>Buttons</t>
  </si>
  <si>
    <t>Charging Port</t>
  </si>
  <si>
    <t>Antennas</t>
  </si>
  <si>
    <t>Sim Card tray</t>
  </si>
  <si>
    <t>Earphone Jack</t>
  </si>
  <si>
    <t>Vibrating Motor</t>
  </si>
  <si>
    <t>Cooling System</t>
  </si>
  <si>
    <t>Mobile Price</t>
  </si>
  <si>
    <t>$E$8</t>
  </si>
  <si>
    <t>$E$12</t>
  </si>
  <si>
    <t>$E$15</t>
  </si>
  <si>
    <t>LowerCost</t>
  </si>
  <si>
    <t>HigherCost</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</si>
  <si>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</si>
  <si>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</si>
  <si>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</si>
  <si>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</si>
  <si>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</si>
  <si>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</si>
  <si>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</si>
  <si>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mic</t>
  </si>
  <si>
    <t>speaker</t>
  </si>
  <si>
    <t>65000 ?</t>
  </si>
  <si>
    <t>Created by DR. NISHTHA JAIN 
Modified by DR. NISHTHA JAIN on 20-02-2025</t>
  </si>
  <si>
    <t>screen</t>
  </si>
  <si>
    <t>Digitizer</t>
  </si>
  <si>
    <t>charg.port</t>
  </si>
  <si>
    <t>antennas</t>
  </si>
  <si>
    <t>simtray</t>
  </si>
  <si>
    <t>vibr.motor</t>
  </si>
  <si>
    <t>cooling</t>
  </si>
  <si>
    <t>$E$4:$E$14 by</t>
  </si>
  <si>
    <t>(All)</t>
  </si>
  <si>
    <t>Item</t>
  </si>
  <si>
    <t>Down Payment</t>
  </si>
  <si>
    <t>Tenure</t>
  </si>
  <si>
    <t>EMI</t>
  </si>
  <si>
    <t>iPhone</t>
  </si>
  <si>
    <t>Total Costing</t>
  </si>
  <si>
    <t>NO !</t>
  </si>
  <si>
    <t>YES !</t>
  </si>
  <si>
    <t>Unit Price</t>
  </si>
  <si>
    <t>Total Amount</t>
  </si>
  <si>
    <t>Total Sales</t>
  </si>
  <si>
    <t>Tea</t>
  </si>
  <si>
    <t>Coffee</t>
  </si>
  <si>
    <t>Sugar</t>
  </si>
  <si>
    <t>Milk</t>
  </si>
  <si>
    <t>Pulses</t>
  </si>
  <si>
    <t>Vegetables</t>
  </si>
  <si>
    <t>SALES</t>
  </si>
  <si>
    <t>Lectures_New</t>
  </si>
  <si>
    <t>1 - Number</t>
  </si>
  <si>
    <t>2 - Text</t>
  </si>
  <si>
    <t>4 - Logical Value</t>
  </si>
  <si>
    <t>16 - Error Value</t>
  </si>
  <si>
    <t>64 - Array</t>
  </si>
  <si>
    <t>128 - Compound Data</t>
  </si>
  <si>
    <t>Lucknow</t>
  </si>
  <si>
    <t>Jamshedpur</t>
  </si>
  <si>
    <t>Rajiv Dixit</t>
  </si>
  <si>
    <t>NOT SURE</t>
  </si>
  <si>
    <t>Previous salaries</t>
  </si>
  <si>
    <t>Previous Salaries</t>
  </si>
  <si>
    <t>Win/Loss</t>
  </si>
  <si>
    <t>Column</t>
  </si>
  <si>
    <t>Line</t>
  </si>
  <si>
    <t>Sparklines</t>
  </si>
  <si>
    <t>Questions to be solved :
1. Plot a graph to compare the sales of 2012, 2013, 2015 and 2016.
2. Calculate the total sales of all the years using a pivot table.
3. Compare the percentage contribution for differrent products in different years.
4. Compare and show the sales trends of Antiques and Fish Aquarium for all the years.</t>
  </si>
  <si>
    <t>Horses</t>
  </si>
  <si>
    <t>Exquisite jewellery</t>
  </si>
  <si>
    <t>Drones</t>
  </si>
  <si>
    <t>Fish Aquarium</t>
  </si>
  <si>
    <t>Cars</t>
  </si>
  <si>
    <t>Bottles</t>
  </si>
  <si>
    <t>Antiques</t>
  </si>
  <si>
    <t>Products</t>
  </si>
  <si>
    <t>Sales of 7 products across 5 years</t>
  </si>
  <si>
    <t>* This Sales dataset for different products is collected from a renowned store in Mumbai.
* It should be used to answer all the questions correctly.
* The dataset contains the names of different products and their selling prices for 5 years.</t>
  </si>
  <si>
    <t>2016</t>
  </si>
  <si>
    <t>2015</t>
  </si>
  <si>
    <t>2014</t>
  </si>
  <si>
    <t>2013</t>
  </si>
  <si>
    <t>2012</t>
  </si>
  <si>
    <t>2012 Summary</t>
  </si>
  <si>
    <t>2013 Summary</t>
  </si>
  <si>
    <t>2014 Summary</t>
  </si>
  <si>
    <t>2015 Summary</t>
  </si>
  <si>
    <t>2016 Summary</t>
  </si>
  <si>
    <t>Quantity</t>
  </si>
  <si>
    <t>Mangoes</t>
  </si>
  <si>
    <t>Oranges</t>
  </si>
  <si>
    <t>Apples</t>
  </si>
  <si>
    <t>Sum of Sales</t>
  </si>
  <si>
    <t>Jun</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</si>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</sst>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164" formatCode="&quot;₹&quot;\ #,##0;[Red]&quot;₹&quot;\ \-#,##0"/>
    <numFmt numFmtId="165" formatCode="&quot;₹&quot;\ #,##0.00;[Red]&quot;₹&quot;\ \-#,##0.00"/>
    <numFmt numFmtId="166" formatCode="_ * #,##0.00_ ;_ * \-#,##0.00_ ;_ * &quot;-&quot;??_ ;_ @_ "/>
    <numFmt numFmtId="167" formatCode="&quot;₹&quot;\ #,##0.00"/>
    <numFmt numFmtId="168" formatCode=";;;"/>
    <numFmt numFmtId="169" formatCode="0.000"/>
    <numFmt numFmtId="170" formatCode="dd\/mm\/yy"/>
    <numFmt numFmtId="171" formatCode="mm/dd/yy"/>
    <numFmt numFmtId="172" formatCode="dddd\/mm\/yy"/>
    <numFmt numFmtId="173" formatCode="dddd\/mmmm\/yyyy"/>
    <numFmt numFmtId="174" formatCode="dd/mm/yyyy\,\ dddd"/>
    <numFmt numFmtId="175" formatCode="[$$-80A]#,##0.00"/>
    <numFmt numFmtId="176" formatCode="_ [$¥-804]* #,##0.00_ ;_ [$¥-804]* \-#,##0.00_ ;_ [$¥-804]* &quot;-&quot;??_ ;_ @_ "/>
    <numFmt numFmtId="177" formatCode="[$-F800]dddd\,\ mmmm\ dd\,\ yyyy"/>
    <numFmt numFmtId="178" formatCode="[$-F400]h:mm:ss\ AM/PM"/>
    <numFmt numFmtId="179" formatCode="[$-10409]h\.mm\.ss\ AM/PM;@"/>
    <numFmt numFmtId="180" formatCode="&quot;₹&quot;\ #,##0"/>
    <numFmt numFmtId="181" formatCode="[$-10409]hh:mm:ss\ AM/PM;@"/>
    <numFmt numFmtId="182" formatCode="dddd"/>
    <numFmt numFmtId="183" formatCode="dd\/mm\/yyyy"/>
    <numFmt numFmtId="184" formatCode="[$-14009]dd/mm/yyyy;@"/>
    <numFmt numFmtId="185" formatCode="0_ ;[Red]\-0\ "/>
    <numFmt numFmtId="186" formatCode="#\ ?/2"/>
    <numFmt numFmtId="187" formatCode="0.E+00"/>
    <numFmt numFmtId="188" formatCode="[&gt;10000]#;\ &quot;Value should be greater than 10000.&quot;"/>
    <numFmt numFmtId="189" formatCode="&quot;IN - &quot;\ @"/>
    <numFmt numFmtId="190" formatCode="[$-10409]hh:mm\ AM/PM;@"/>
    <numFmt numFmtId="191" formatCode="[$-14009]dddd\,\ d\ mmmm\,\ yyyy;@"/>
    <numFmt numFmtId="200" formatCode="[$₹-4009]\ #,##0.00;[$₹-4009]\ \-#,##0.00"/>
  </numFmts>
  <fonts count="16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i/>
      <sz val="10"/>
      <color theme="1"/>
      <name val="Bookman Old Style"/>
      <family val="1"/>
    </font>
    <font>
      <sz val="10"/>
      <color theme="1"/>
      <name val="Bookman Old Style"/>
      <family val="1"/>
    </font>
    <font>
      <sz val="10"/>
      <color rgb="FF000000"/>
      <name val="Bookman Old Style"/>
      <family val="1"/>
    </font>
    <font>
      <sz val="12"/>
      <color theme="1"/>
      <name val="Amasis MT Pro Medium"/>
      <family val="1"/>
    </font>
    <font>
      <b/>
      <u/>
      <sz val="12"/>
      <color theme="1"/>
      <name val="Amasis MT Pro Medium"/>
      <family val="1"/>
    </font>
    <font>
      <b/>
      <sz val="12"/>
      <color theme="1"/>
      <name val="Amasis MT Pro Medium"/>
      <family val="1"/>
    </font>
    <font>
      <b/>
      <i/>
      <u/>
      <sz val="12"/>
      <color theme="1"/>
      <name val="Amasis MT Pro Medium"/>
      <family val="1"/>
    </font>
    <font>
      <b/>
      <sz val="9"/>
      <color indexed="81"/>
      <name val="Tahoma"/>
      <family val="2"/>
    </font>
    <font>
      <sz val="9"/>
      <color indexed="81"/>
      <name val="Tahoma"/>
      <family val="2"/>
    </font>
    <font>
      <b/>
      <i/>
      <u/>
      <sz val="11"/>
      <color theme="1"/>
      <name val="Algerian"/>
      <family val="5"/>
    </font>
    <font>
      <sz val="11"/>
      <color theme="1"/>
      <name val="Algerian"/>
      <family val="5"/>
    </font>
    <font>
      <b/>
      <sz val="11"/>
      <color theme="1"/>
      <name val="Algerian"/>
      <family val="5"/>
    </font>
    <font>
      <b/>
      <i/>
      <u/>
      <sz val="12"/>
      <color theme="1"/>
      <name val="Arial"/>
      <family val="2"/>
    </font>
    <font>
      <sz val="12"/>
      <color theme="1"/>
      <name val="Arial"/>
      <family val="2"/>
    </font>
    <font>
      <b/>
      <sz val="12"/>
      <color theme="1"/>
      <name val="Arial"/>
      <family val="2"/>
    </font>
    <font>
      <sz val="11"/>
      <color theme="1"/>
      <name val="Arial"/>
      <family val="2"/>
    </font>
    <font>
      <sz val="10"/>
      <color theme="1"/>
      <name val="Calibri"/>
      <family val="2"/>
      <scheme val="minor"/>
    </font>
    <font>
      <sz val="10"/>
      <color theme="1"/>
      <name val="Algerian"/>
      <family val="5"/>
    </font>
    <font>
      <b/>
      <i/>
      <u/>
      <sz val="10"/>
      <color theme="1"/>
      <name val="Algerian"/>
      <family val="5"/>
    </font>
    <font>
      <b/>
      <sz val="10"/>
      <color theme="1"/>
      <name val="Algerian"/>
      <family val="5"/>
    </font>
    <font>
      <b/>
      <sz val="11"/>
      <color theme="1"/>
      <name val="Arial"/>
      <family val="2"/>
    </font>
    <font>
      <b/>
      <i/>
      <sz val="11"/>
      <color theme="1"/>
      <name val="Calibri"/>
      <family val="2"/>
      <scheme val="minor"/>
    </font>
    <font>
      <b/>
      <i/>
      <sz val="11"/>
      <color theme="1"/>
      <name val="Arial"/>
      <family val="2"/>
    </font>
    <font>
      <sz val="10"/>
      <color theme="1"/>
      <name val="Arial"/>
      <family val="2"/>
    </font>
    <font>
      <b/>
      <sz val="10"/>
      <color theme="1"/>
      <name val="Calibri"/>
      <family val="2"/>
      <scheme val="minor"/>
    </font>
    <font>
      <b/>
      <i/>
      <sz val="12"/>
      <color theme="1"/>
      <name val="Calibri"/>
      <family val="2"/>
      <scheme val="minor"/>
    </font>
    <font>
      <i/>
      <sz val="12"/>
      <color theme="1"/>
      <name val="Calibri"/>
      <family val="2"/>
      <scheme val="minor"/>
    </font>
    <font>
      <b/>
      <sz val="10"/>
      <color theme="1"/>
      <name val="Baskerville Old Face"/>
      <family val="1"/>
    </font>
    <font>
      <sz val="11"/>
      <color theme="1"/>
      <name val="Baskerville Old Face"/>
      <family val="1"/>
    </font>
    <font>
      <sz val="10"/>
      <color theme="1"/>
      <name val="Cambria"/>
      <family val="1"/>
    </font>
    <font>
      <b/>
      <i/>
      <sz val="10"/>
      <color theme="1"/>
      <name val="Cambria"/>
      <family val="1"/>
    </font>
    <font>
      <b/>
      <sz val="10"/>
      <color theme="1"/>
      <name val="Bookman Old Style"/>
      <family val="1"/>
    </font>
    <font>
      <sz val="11"/>
      <color theme="1"/>
      <name val="Cavolini"/>
      <family val="4"/>
    </font>
    <font>
      <b/>
      <sz val="11"/>
      <color theme="1"/>
      <name val="Cavolini"/>
      <family val="4"/>
    </font>
    <font>
      <b/>
      <sz val="10.5"/>
      <color theme="1"/>
      <name val="Arial"/>
      <family val="2"/>
    </font>
    <font>
      <sz val="10.5"/>
      <color theme="1"/>
      <name val="Arial"/>
      <family val="2"/>
    </font>
    <font>
      <sz val="10.5"/>
      <color theme="1"/>
      <name val="Calibri"/>
      <family val="2"/>
      <scheme val="minor"/>
    </font>
    <font>
      <b/>
      <sz val="10.5"/>
      <color theme="1"/>
      <name val="Calibri"/>
      <family val="2"/>
      <scheme val="minor"/>
    </font>
    <font>
      <b/>
      <sz val="12"/>
      <color theme="1"/>
      <name val="Calibri"/>
      <family val="2"/>
      <scheme val="minor"/>
    </font>
    <font>
      <sz val="12"/>
      <color theme="1"/>
      <name val="Calibri"/>
      <family val="2"/>
      <scheme val="minor"/>
    </font>
    <font>
      <b/>
      <i/>
      <sz val="11"/>
      <color theme="1"/>
      <name val="Bookman Old Style"/>
      <family val="1"/>
    </font>
    <font>
      <b/>
      <sz val="11"/>
      <color theme="1"/>
      <name val="Bookman Old Style"/>
      <family val="1"/>
    </font>
    <font>
      <sz val="11"/>
      <color theme="1"/>
      <name val="Amasis MT Pro Medium"/>
      <family val="1"/>
    </font>
    <font>
      <b/>
      <sz val="12"/>
      <color theme="1"/>
      <name val="Cavolini"/>
      <family val="4"/>
    </font>
    <font>
      <sz val="12"/>
      <color theme="1"/>
      <name val="Ebrima"/>
    </font>
    <font>
      <b/>
      <u/>
      <sz val="10.5"/>
      <color theme="1"/>
      <name val="Amasis MT Pro Medium"/>
      <family val="1"/>
    </font>
    <font>
      <sz val="10.5"/>
      <color theme="1"/>
      <name val="Amasis MT Pro Medium"/>
      <family val="1"/>
    </font>
    <font>
      <b/>
      <sz val="10.5"/>
      <color theme="1"/>
      <name val="Amasis MT Pro Medium"/>
      <family val="1"/>
    </font>
    <font>
      <b/>
      <i/>
      <u/>
      <sz val="10.5"/>
      <color theme="1"/>
      <name val="Amasis MT Pro Medium"/>
      <family val="1"/>
    </font>
    <font>
      <b/>
      <sz val="14"/>
      <color theme="1"/>
      <name val="Calibri"/>
      <family val="2"/>
      <scheme val="minor"/>
    </font>
    <font>
      <sz val="14"/>
      <color theme="1"/>
      <name val="Calibri"/>
      <family val="2"/>
      <scheme val="minor"/>
    </font>
    <font>
      <sz val="10"/>
      <color theme="0"/>
      <name val="Bookman Old Style"/>
      <family val="1"/>
    </font>
    <font>
      <b/>
      <u/>
      <sz val="13"/>
      <color theme="1"/>
      <name val="Algerian"/>
      <family val="5"/>
    </font>
    <font>
      <sz val="13"/>
      <color theme="1"/>
      <name val="Algerian"/>
      <family val="5"/>
    </font>
    <font>
      <b/>
      <u/>
      <sz val="10"/>
      <color theme="1"/>
      <name val="Amasis MT Pro Medium"/>
      <family val="1"/>
    </font>
    <font>
      <sz val="10"/>
      <color theme="1"/>
      <name val="Amasis MT Pro Medium"/>
      <family val="1"/>
    </font>
    <font>
      <b/>
      <u/>
      <sz val="11"/>
      <color theme="1"/>
      <name val="Amasis MT Pro Medium"/>
      <family val="1"/>
    </font>
    <font>
      <b/>
      <sz val="13"/>
      <color theme="1"/>
      <name val="Calibri"/>
      <family val="2"/>
      <scheme val="minor"/>
    </font>
    <font>
      <sz val="13"/>
      <color theme="1"/>
      <name val="Calibri"/>
      <family val="2"/>
      <scheme val="minor"/>
    </font>
    <font>
      <sz val="8"/>
      <name val="Calibri"/>
      <family val="2"/>
      <scheme val="minor"/>
    </font>
    <font>
      <b/>
      <u/>
      <sz val="13"/>
      <color theme="1"/>
      <name val="Calibri"/>
      <family val="2"/>
      <scheme val="minor"/>
    </font>
    <font>
      <i/>
      <sz val="12"/>
      <color theme="1"/>
      <name val="Amasis MT Pro Medium"/>
      <family val="1"/>
    </font>
    <font>
      <b/>
      <i/>
      <sz val="12"/>
      <color theme="0"/>
      <name val="Amasis MT Pro"/>
      <family val="1"/>
    </font>
    <font>
      <b/>
      <u/>
      <sz val="11.5"/>
      <color theme="0"/>
      <name val="Amasis MT Pro"/>
      <family val="1"/>
    </font>
    <font>
      <sz val="11.5"/>
      <color theme="1" tint="4.9989318521683403E-2"/>
      <name val="Amasis MT Pro"/>
      <family val="1"/>
    </font>
    <font>
      <sz val="12"/>
      <color theme="1"/>
      <name val="Amasis MT Pro"/>
      <family val="1"/>
    </font>
    <font>
      <sz val="11.5"/>
      <color theme="1"/>
      <name val="Amasis MT Pro"/>
      <family val="1"/>
    </font>
    <font>
      <b/>
      <sz val="11.5"/>
      <color theme="1"/>
      <name val="Amasis MT Pro"/>
      <family val="1"/>
    </font>
    <font>
      <sz val="11"/>
      <color theme="1"/>
      <name val="Amasis MT Pro"/>
      <family val="1"/>
    </font>
    <font>
      <b/>
      <sz val="11"/>
      <color theme="1"/>
      <name val="Amasis MT Pro"/>
      <family val="1"/>
    </font>
    <font>
      <b/>
      <i/>
      <sz val="11"/>
      <color theme="1"/>
      <name val="Amasis MT Pro"/>
      <family val="1"/>
    </font>
    <font>
      <b/>
      <u/>
      <sz val="11.5"/>
      <color theme="1" tint="4.9989318521683403E-2"/>
      <name val="Amasis MT Pro"/>
      <family val="1"/>
    </font>
    <font>
      <u/>
      <sz val="11"/>
      <color theme="10"/>
      <name val="Calibri"/>
      <family val="2"/>
      <scheme val="minor"/>
    </font>
    <font>
      <sz val="11.5"/>
      <color rgb="FF454545"/>
      <name val="Amasis MT Pro"/>
      <family val="1"/>
    </font>
    <font>
      <u/>
      <sz val="11.5"/>
      <color theme="10"/>
      <name val="Amasis MT Pro"/>
      <family val="1"/>
    </font>
    <font>
      <b/>
      <sz val="11"/>
      <color theme="0"/>
      <name val="Calibri"/>
      <family val="2"/>
      <scheme val="minor"/>
    </font>
    <font>
      <b/>
      <sz val="11"/>
      <color theme="0"/>
      <name val="Amasis MT Pro"/>
      <family val="1"/>
    </font>
    <font>
      <sz val="11"/>
      <color theme="1" tint="4.9989318521683403E-2"/>
      <name val="Amasis MT Pro"/>
      <family val="1"/>
    </font>
    <font>
      <sz val="11"/>
      <color theme="1" tint="4.9989318521683403E-2"/>
      <name val="Calibri"/>
      <family val="2"/>
      <scheme val="minor"/>
    </font>
    <font>
      <b/>
      <u/>
      <sz val="11"/>
      <color theme="0"/>
      <name val="Calibri"/>
      <family val="2"/>
      <scheme val="minor"/>
    </font>
    <font>
      <sz val="11"/>
      <color indexed="8"/>
      <name val="Calibri"/>
      <family val="2"/>
    </font>
    <font>
      <b/>
      <sz val="11"/>
      <color indexed="8"/>
      <name val="Calibri"/>
      <family val="2"/>
    </font>
    <font>
      <sz val="11"/>
      <color theme="1"/>
      <name val="Comic Sans MS"/>
      <family val="4"/>
    </font>
    <font>
      <sz val="13"/>
      <color theme="1"/>
      <name val="Amasis MT Pro Medium"/>
      <family val="1"/>
    </font>
    <font>
      <b/>
      <u/>
      <sz val="13"/>
      <color theme="1"/>
      <name val="Amasis MT Pro Medium"/>
      <family val="1"/>
    </font>
    <font>
      <b/>
      <sz val="13"/>
      <color theme="1"/>
      <name val="Amasis MT Pro Medium"/>
      <family val="1"/>
    </font>
    <font>
      <b/>
      <sz val="13"/>
      <color theme="1"/>
      <name val="Baskerville Old Face"/>
      <family val="1"/>
    </font>
    <font>
      <b/>
      <sz val="12"/>
      <color theme="1"/>
      <name val="Baskerville Old Face"/>
      <family val="1"/>
    </font>
    <font>
      <b/>
      <u/>
      <sz val="12"/>
      <color theme="1"/>
      <name val="Baskerville Old Face"/>
      <family val="1"/>
    </font>
    <font>
      <b/>
      <sz val="11"/>
      <color theme="1"/>
      <name val="Cambria"/>
      <family val="1"/>
    </font>
    <font>
      <b/>
      <i/>
      <sz val="12"/>
      <color theme="1"/>
      <name val="Bookman Old Style"/>
      <family val="1"/>
    </font>
    <font>
      <sz val="12"/>
      <color theme="1"/>
      <name val="Bookman Old Style"/>
      <family val="1"/>
    </font>
    <font>
      <b/>
      <sz val="14"/>
      <color theme="0"/>
      <name val="Congenial"/>
    </font>
    <font>
      <sz val="12"/>
      <color theme="1"/>
      <name val="Baskerville Old Face"/>
      <family val="1"/>
    </font>
    <font>
      <b/>
      <sz val="13"/>
      <color theme="1"/>
      <name val="Calibri"/>
      <family val="2"/>
    </font>
    <font>
      <sz val="13"/>
      <color theme="1"/>
      <name val="Calibri"/>
      <family val="2"/>
    </font>
    <font>
      <b/>
      <sz val="11"/>
      <color theme="1"/>
      <name val="Baskerville Old Face"/>
      <family val="1"/>
    </font>
    <font>
      <b/>
      <u/>
      <sz val="14"/>
      <color theme="1"/>
      <name val="Baskerville Old Face"/>
      <family val="1"/>
    </font>
    <font>
      <b/>
      <sz val="10"/>
      <color theme="0"/>
      <name val="Baskerville Old Face"/>
      <family val="1"/>
    </font>
    <font>
      <b/>
      <sz val="11.5"/>
      <color rgb="FFC00000"/>
      <name val="Amasis MT Pro"/>
    </font>
    <font>
      <b/>
      <sz val="12"/>
      <color rgb="FFFF0000"/>
      <name val="Arial"/>
      <family val="2"/>
    </font>
    <font>
      <b/>
      <sz val="13"/>
      <color theme="1"/>
      <name val="Arial"/>
      <family val="2"/>
    </font>
    <font>
      <sz val="13"/>
      <color theme="1"/>
      <name val="Arial"/>
      <family val="2"/>
    </font>
    <font>
      <b/>
      <sz val="14"/>
      <color theme="1"/>
      <name val="Arial"/>
      <family val="2"/>
    </font>
    <font>
      <b/>
      <u/>
      <sz val="12"/>
      <color theme="0"/>
      <name val="Arial"/>
      <family val="2"/>
    </font>
    <font>
      <b/>
      <u/>
      <sz val="11"/>
      <color theme="0"/>
      <name val="Arial"/>
      <family val="2"/>
    </font>
    <font>
      <sz val="11"/>
      <color theme="1" tint="4.9989318521683403E-2"/>
      <name val="Arial"/>
      <family val="2"/>
    </font>
    <font>
      <b/>
      <sz val="11"/>
      <color theme="1" tint="4.9989318521683403E-2"/>
      <name val="Arial"/>
      <family val="2"/>
    </font>
    <font>
      <b/>
      <sz val="13"/>
      <color theme="0"/>
      <name val="Amasis MT Pro"/>
      <family val="1"/>
    </font>
    <font>
      <sz val="12"/>
      <color theme="1" tint="4.9989318521683403E-2"/>
      <name val="Amasis MT Pro"/>
      <family val="1"/>
    </font>
    <font>
      <b/>
      <sz val="12"/>
      <color theme="1"/>
      <name val="Amasis MT Pro"/>
      <family val="1"/>
    </font>
    <font>
      <b/>
      <u/>
      <sz val="12"/>
      <color theme="0"/>
      <name val="Amasis MT Pro"/>
      <family val="1"/>
    </font>
    <font>
      <b/>
      <sz val="12"/>
      <color theme="0"/>
      <name val="Amasis MT Pro"/>
      <family val="1"/>
    </font>
    <font>
      <b/>
      <i/>
      <sz val="12"/>
      <color theme="1"/>
      <name val="Amasis MT Pro Medium"/>
      <family val="1"/>
    </font>
    <font>
      <b/>
      <sz val="11"/>
      <color theme="1"/>
      <name val="Amasis MT Pro Medium"/>
      <family val="1"/>
    </font>
    <font>
      <b/>
      <sz val="15"/>
      <color theme="1"/>
      <name val="Calibri"/>
      <family val="2"/>
      <scheme val="minor"/>
    </font>
    <font>
      <sz val="14"/>
      <color theme="1" tint="4.9989318521683403E-2"/>
      <name val="Arial"/>
      <family val="2"/>
    </font>
    <font>
      <b/>
      <sz val="11.5"/>
      <color theme="1"/>
      <name val="Comic Sans MS"/>
      <family val="4"/>
    </font>
    <font>
      <b/>
      <sz val="12"/>
      <color theme="1"/>
      <name val="Amasis MT Pro Medium"/>
    </font>
    <font>
      <sz val="11.5"/>
      <color theme="1"/>
      <name val="Comic Sans MS"/>
      <family val="4"/>
    </font>
    <font>
      <b/>
      <u/>
      <sz val="13"/>
      <name val="Amasis MT Pro Medium"/>
      <family val="1"/>
    </font>
    <font>
      <b/>
      <sz val="11"/>
      <name val="Amasis MT Pro"/>
      <family val="1"/>
    </font>
    <font>
      <b/>
      <i/>
      <u/>
      <sz val="14"/>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18"/>
      <color theme="1"/>
      <name val="Calibri"/>
      <family val="2"/>
      <scheme val="minor"/>
    </font>
    <font>
      <sz val="11"/>
      <color theme="1"/>
      <name val="Bookman Old Style"/>
      <family val="1"/>
    </font>
    <font>
      <b/>
      <sz val="14"/>
      <color theme="1"/>
      <name val="Bookman Old Style"/>
      <family val="1"/>
    </font>
    <font>
      <sz val="14"/>
      <color theme="1"/>
      <name val="Bookman Old Style"/>
      <family val="1"/>
    </font>
    <font>
      <b/>
      <sz val="14"/>
      <color rgb="FFFF0000"/>
      <name val="Bookman Old Style"/>
      <family val="1"/>
    </font>
    <font>
      <b/>
      <sz val="18"/>
      <color rgb="FFFF0000"/>
      <name val="Bookman Old Style"/>
      <family val="1"/>
    </font>
    <font>
      <sz val="12"/>
      <color theme="1"/>
      <name val="Comic Sans MS"/>
      <family val="4"/>
    </font>
    <font>
      <b/>
      <sz val="12"/>
      <color theme="1"/>
      <name val="Comic Sans MS"/>
      <family val="4"/>
    </font>
    <font>
      <b/>
      <sz val="13"/>
      <color theme="1"/>
      <name val="Bookman Old Style"/>
      <family val="1"/>
    </font>
    <font>
      <sz val="13"/>
      <color theme="1"/>
      <name val="Bookman Old Style"/>
      <family val="1"/>
    </font>
    <font>
      <b/>
      <sz val="15"/>
      <color theme="1"/>
      <name val="Comic Sans MS"/>
      <family val="4"/>
    </font>
    <font>
      <b/>
      <i/>
      <u/>
      <sz val="15"/>
      <color theme="1"/>
      <name val="Calibri"/>
      <family val="2"/>
      <scheme val="minor"/>
    </font>
    <font>
      <b/>
      <u/>
      <sz val="12"/>
      <color theme="0"/>
      <name val="Calibri"/>
      <family val="2"/>
      <scheme val="minor"/>
    </font>
    <font>
      <sz val="12"/>
      <color theme="1" tint="4.9989318521683403E-2"/>
      <name val="Calibri"/>
      <family val="2"/>
      <scheme val="minor"/>
    </font>
    <font>
      <b/>
      <u/>
      <sz val="12"/>
      <color theme="1"/>
      <name val="Georgia"/>
      <family val="1"/>
    </font>
    <font>
      <b/>
      <sz val="12"/>
      <color theme="1"/>
      <name val="Georgia"/>
      <family val="1"/>
    </font>
    <font>
      <sz val="11"/>
      <color theme="1"/>
      <name val="Calibri"/>
      <family val="2"/>
      <scheme val="minor"/>
    </font>
    <font>
      <sz val="12"/>
      <color theme="1"/>
      <name val="Calibri"/>
      <family val="2"/>
    </font>
    <font>
      <b/>
      <sz val="12"/>
      <color theme="1"/>
      <name val="Calibri"/>
      <family val="2"/>
    </font>
    <font>
      <sz val="11"/>
      <color theme="1"/>
      <name val="Wingdings"/>
      <charset val="2"/>
    </font>
    <font>
      <sz val="13"/>
      <color theme="1"/>
      <name val="Book Antiqua"/>
      <family val="1"/>
    </font>
    <font>
      <sz val="12"/>
      <color theme="1"/>
      <name val="Book Antiqua"/>
      <family val="1"/>
    </font>
    <font>
      <b/>
      <sz val="12"/>
      <color theme="1"/>
      <name val="Book Antiqua"/>
      <family val="1"/>
    </font>
    <font>
      <b/>
      <sz val="13"/>
      <color theme="1"/>
      <name val="Book Antiqua"/>
      <family val="1"/>
    </font>
    <font>
      <sz val="12"/>
      <color theme="1"/>
      <name val="Georgia"/>
      <family val="1"/>
    </font>
  </fonts>
  <fills count="37">
    <fill>
      <patternFill patternType="none"/>
    </fill>
    <fill>
      <patternFill patternType="gray125"/>
    </fill>
    <fill>
      <patternFill patternType="solid">
        <fgColor theme="6"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3" tint="-0.249977111117893"/>
        <bgColor indexed="64"/>
      </patternFill>
    </fill>
    <fill>
      <patternFill patternType="solid">
        <fgColor theme="9" tint="0.59999389629810485"/>
        <bgColor indexed="64"/>
      </patternFill>
    </fill>
    <fill>
      <patternFill patternType="solid">
        <fgColor rgb="FFFFFF00"/>
        <bgColor indexed="64"/>
      </patternFill>
    </fill>
    <fill>
      <patternFill patternType="solid">
        <fgColor theme="9" tint="-0.49998474074526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7030A0"/>
        <bgColor indexed="64"/>
      </patternFill>
    </fill>
    <fill>
      <patternFill patternType="solid">
        <fgColor rgb="FFFFFFFF"/>
        <bgColor indexed="64"/>
      </patternFill>
    </fill>
    <fill>
      <patternFill patternType="solid">
        <fgColor theme="0"/>
        <bgColor theme="8"/>
      </patternFill>
    </fill>
    <fill>
      <patternFill patternType="solid">
        <fgColor theme="0"/>
        <bgColor theme="8" tint="0.59999389629810485"/>
      </patternFill>
    </fill>
    <fill>
      <patternFill patternType="solid">
        <fgColor theme="0"/>
        <bgColor theme="8" tint="0.79998168889431442"/>
      </patternFill>
    </fill>
    <fill>
      <patternFill patternType="solid">
        <fgColor theme="1"/>
        <bgColor theme="8"/>
      </patternFill>
    </fill>
    <fill>
      <patternFill patternType="solid">
        <fgColor theme="7" tint="0.79998168889431442"/>
        <bgColor rgb="FF000000"/>
      </patternFill>
    </fill>
    <fill>
      <patternFill patternType="solid">
        <fgColor theme="8" tint="0.39997558519241921"/>
        <bgColor indexed="64"/>
      </patternFill>
    </fill>
    <fill>
      <patternFill patternType="solid">
        <fgColor theme="4" tint="0.39997558519241921"/>
        <bgColor indexed="64"/>
      </patternFill>
    </fill>
    <fill>
      <patternFill patternType="solid">
        <fgColor rgb="FFC00000"/>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8" tint="-0.249977111117893"/>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4" tint="0.59999389629810485"/>
        <bgColor theme="8"/>
      </patternFill>
    </fill>
    <fill>
      <patternFill patternType="solid">
        <fgColor theme="8" tint="0.79998168889431442"/>
        <bgColor indexed="64"/>
      </patternFill>
    </fill>
    <fill>
      <patternFill patternType="solid">
        <fgColor theme="1"/>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
      <left style="thin">
        <color indexed="64"/>
      </left>
      <right/>
      <top/>
      <bottom style="thin">
        <color indexed="64"/>
      </bottom>
      <diagonal/>
    </border>
    <border>
      <left style="thin">
        <color theme="1"/>
      </left>
      <right/>
      <top style="thin">
        <color theme="1"/>
      </top>
      <bottom style="thin">
        <color theme="1"/>
      </bottom>
      <diagonal/>
    </border>
    <border>
      <left style="thin">
        <color theme="1"/>
      </left>
      <right style="thin">
        <color theme="1"/>
      </right>
      <top style="thin">
        <color theme="1"/>
      </top>
      <bottom/>
      <diagonal/>
    </border>
    <border>
      <left style="thin">
        <color theme="1"/>
      </left>
      <right/>
      <top style="thin">
        <color theme="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style="thin">
        <color theme="0"/>
      </right>
      <top/>
      <bottom/>
      <diagonal/>
    </border>
    <border>
      <left/>
      <right style="thin">
        <color indexed="64"/>
      </right>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top/>
      <bottom/>
      <diagonal/>
    </border>
    <border>
      <left/>
      <right/>
      <top style="medium">
        <color rgb="FFCCCCCC"/>
      </top>
      <bottom/>
      <diagonal/>
    </border>
    <border>
      <left/>
      <right style="thin">
        <color theme="1"/>
      </right>
      <top style="thin">
        <color theme="1"/>
      </top>
      <bottom style="thin">
        <color theme="1"/>
      </bottom>
      <diagonal/>
    </border>
    <border>
      <left/>
      <right style="thin">
        <color theme="1"/>
      </right>
      <top style="thin">
        <color theme="1"/>
      </top>
      <bottom/>
      <diagonal/>
    </border>
    <border>
      <left/>
      <right/>
      <top/>
      <bottom style="thin">
        <color indexed="64"/>
      </bottom>
      <diagonal/>
    </border>
    <border>
      <left/>
      <right/>
      <top style="medium">
        <color indexed="64"/>
      </top>
      <bottom/>
      <diagonal/>
    </border>
    <border>
      <left/>
      <right/>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s>
  <cellStyleXfs count="5">
    <xf numFmtId="0" fontId="0" fillId="0" borderId="0"/>
    <xf numFmtId="9" fontId="7" fillId="0" borderId="0" applyFont="0" applyFill="0" applyBorder="0" applyAlignment="0" applyProtection="0"/>
    <xf numFmtId="0" fontId="81" fillId="0" borderId="0" applyNumberFormat="0" applyFill="0" applyBorder="0" applyAlignment="0" applyProtection="0"/>
    <xf numFmtId="166" fontId="7" fillId="0" borderId="0" applyFont="0" applyFill="0" applyBorder="0" applyAlignment="0" applyProtection="0"/>
    <xf numFmtId="0" fontId="153" fillId="0" borderId="0"/>
  </cellStyleXfs>
  <cellXfs count="774">
    <xf numFmtId="0" fontId="0" fillId="0" borderId="0" xfId="0"/>
    <xf numFmtId="0" fontId="9" fillId="2" borderId="1" xfId="0" applyFont="1" applyFill="1" applyBorder="1" applyAlignment="1">
      <alignment horizontal="center" vertical="center"/>
    </xf>
    <xf numFmtId="14" fontId="10" fillId="3" borderId="1" xfId="0" applyNumberFormat="1" applyFont="1" applyFill="1" applyBorder="1" applyAlignment="1">
      <alignment horizontal="left" vertical="center"/>
    </xf>
    <xf numFmtId="0" fontId="10" fillId="3" borderId="1" xfId="0" applyFont="1" applyFill="1" applyBorder="1" applyAlignment="1">
      <alignment horizontal="left" vertical="center"/>
    </xf>
    <xf numFmtId="0" fontId="13" fillId="3" borderId="1" xfId="0" applyFont="1" applyFill="1" applyBorder="1" applyAlignment="1">
      <alignment horizontal="center" vertical="center"/>
    </xf>
    <xf numFmtId="0" fontId="14"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18" fillId="3" borderId="1" xfId="0" applyFont="1" applyFill="1" applyBorder="1" applyAlignment="1">
      <alignment horizontal="center" vertical="center"/>
    </xf>
    <xf numFmtId="0" fontId="0" fillId="3" borderId="1" xfId="0" applyFill="1" applyBorder="1"/>
    <xf numFmtId="0" fontId="19" fillId="3" borderId="1" xfId="0" applyFont="1" applyFill="1" applyBorder="1" applyAlignment="1">
      <alignment horizontal="center" vertical="center"/>
    </xf>
    <xf numFmtId="167" fontId="19" fillId="3" borderId="1" xfId="0" applyNumberFormat="1" applyFont="1" applyFill="1" applyBorder="1" applyAlignment="1">
      <alignment horizontal="center" vertical="center"/>
    </xf>
    <xf numFmtId="167" fontId="20" fillId="3" borderId="1" xfId="0" applyNumberFormat="1" applyFont="1" applyFill="1" applyBorder="1" applyAlignment="1">
      <alignment horizontal="center" vertical="center"/>
    </xf>
    <xf numFmtId="0" fontId="19" fillId="3" borderId="1" xfId="0" applyFont="1" applyFill="1" applyBorder="1" applyAlignment="1" applyProtection="1">
      <alignment horizontal="center" vertical="center"/>
      <protection locked="0"/>
    </xf>
    <xf numFmtId="0" fontId="20" fillId="3" borderId="1" xfId="0" applyFont="1" applyFill="1" applyBorder="1" applyAlignment="1">
      <alignment horizontal="center" vertical="center"/>
    </xf>
    <xf numFmtId="0" fontId="19" fillId="3" borderId="1" xfId="0" applyFont="1" applyFill="1" applyBorder="1"/>
    <xf numFmtId="0" fontId="0" fillId="4" borderId="1" xfId="0" applyFill="1" applyBorder="1"/>
    <xf numFmtId="0" fontId="0" fillId="4" borderId="0" xfId="0" applyFill="1"/>
    <xf numFmtId="0" fontId="21" fillId="4" borderId="1" xfId="0" applyFont="1" applyFill="1" applyBorder="1" applyAlignment="1">
      <alignment horizontal="center" vertical="center"/>
    </xf>
    <xf numFmtId="0" fontId="22" fillId="4" borderId="1" xfId="0" applyFont="1" applyFill="1" applyBorder="1"/>
    <xf numFmtId="0" fontId="22" fillId="4" borderId="1" xfId="0" applyFont="1" applyFill="1" applyBorder="1" applyAlignment="1">
      <alignment horizontal="center" vertical="center"/>
    </xf>
    <xf numFmtId="167" fontId="22" fillId="4" borderId="1" xfId="0" applyNumberFormat="1" applyFont="1" applyFill="1" applyBorder="1" applyAlignment="1">
      <alignment horizontal="center" vertical="center"/>
    </xf>
    <xf numFmtId="167" fontId="23" fillId="4" borderId="1" xfId="0" applyNumberFormat="1" applyFont="1" applyFill="1" applyBorder="1" applyAlignment="1">
      <alignment horizontal="center" vertical="center"/>
    </xf>
    <xf numFmtId="0" fontId="22" fillId="4" borderId="1" xfId="0" applyFont="1" applyFill="1" applyBorder="1" applyAlignment="1" applyProtection="1">
      <alignment horizontal="center" vertical="center"/>
      <protection locked="0"/>
    </xf>
    <xf numFmtId="167" fontId="22" fillId="4" borderId="1" xfId="0" applyNumberFormat="1" applyFont="1" applyFill="1" applyBorder="1" applyAlignment="1" applyProtection="1">
      <alignment horizontal="center" vertical="center"/>
      <protection locked="0"/>
    </xf>
    <xf numFmtId="0" fontId="23" fillId="4" borderId="1" xfId="0" applyFont="1" applyFill="1" applyBorder="1" applyAlignment="1">
      <alignment horizontal="center" vertical="center"/>
    </xf>
    <xf numFmtId="168" fontId="22" fillId="4" borderId="1" xfId="0" applyNumberFormat="1" applyFont="1" applyFill="1" applyBorder="1"/>
    <xf numFmtId="0" fontId="24" fillId="4" borderId="1" xfId="0" applyFont="1" applyFill="1" applyBorder="1" applyAlignment="1">
      <alignment horizontal="center" vertical="center"/>
    </xf>
    <xf numFmtId="0" fontId="24" fillId="4" borderId="1" xfId="0" applyFont="1" applyFill="1" applyBorder="1" applyAlignment="1" applyProtection="1">
      <alignment horizontal="center" vertical="center"/>
      <protection locked="0"/>
    </xf>
    <xf numFmtId="167" fontId="26" fillId="3" borderId="1" xfId="0" applyNumberFormat="1" applyFont="1" applyFill="1" applyBorder="1" applyAlignment="1">
      <alignment horizontal="center" vertical="center"/>
    </xf>
    <xf numFmtId="0" fontId="27" fillId="3" borderId="1" xfId="0" applyFont="1" applyFill="1" applyBorder="1" applyAlignment="1">
      <alignment horizontal="center" vertical="center"/>
    </xf>
    <xf numFmtId="0" fontId="26" fillId="3" borderId="1" xfId="0" applyFont="1" applyFill="1" applyBorder="1" applyAlignment="1">
      <alignment horizontal="center" vertical="center"/>
    </xf>
    <xf numFmtId="167" fontId="28" fillId="3" borderId="1" xfId="0" applyNumberFormat="1" applyFont="1" applyFill="1" applyBorder="1" applyAlignment="1">
      <alignment horizontal="center" vertical="center"/>
    </xf>
    <xf numFmtId="0" fontId="29" fillId="2" borderId="1" xfId="0" applyFont="1" applyFill="1" applyBorder="1"/>
    <xf numFmtId="0" fontId="29" fillId="3" borderId="1" xfId="0" applyFont="1" applyFill="1" applyBorder="1"/>
    <xf numFmtId="0" fontId="24" fillId="0" borderId="0" xfId="0" applyFont="1"/>
    <xf numFmtId="0" fontId="24" fillId="0" borderId="1" xfId="0" applyFont="1" applyBorder="1"/>
    <xf numFmtId="0" fontId="24" fillId="3" borderId="1" xfId="0" applyFont="1" applyFill="1" applyBorder="1"/>
    <xf numFmtId="0" fontId="24" fillId="5" borderId="1" xfId="0" applyFont="1" applyFill="1" applyBorder="1"/>
    <xf numFmtId="0" fontId="29" fillId="5" borderId="1" xfId="0" applyFont="1" applyFill="1" applyBorder="1"/>
    <xf numFmtId="0" fontId="24" fillId="3" borderId="0" xfId="0" applyFont="1" applyFill="1"/>
    <xf numFmtId="0" fontId="29" fillId="2" borderId="1" xfId="0" applyFont="1" applyFill="1" applyBorder="1" applyAlignment="1">
      <alignment horizontal="left"/>
    </xf>
    <xf numFmtId="0" fontId="29" fillId="3" borderId="0" xfId="0" applyFont="1" applyFill="1" applyAlignment="1">
      <alignment horizontal="left"/>
    </xf>
    <xf numFmtId="0" fontId="24" fillId="0" borderId="1" xfId="0" applyFont="1" applyBorder="1" applyAlignment="1">
      <alignment horizontal="left"/>
    </xf>
    <xf numFmtId="167" fontId="24" fillId="0" borderId="1" xfId="0" applyNumberFormat="1" applyFont="1" applyBorder="1" applyAlignment="1">
      <alignment horizontal="left"/>
    </xf>
    <xf numFmtId="10" fontId="24" fillId="0" borderId="1" xfId="1" applyNumberFormat="1" applyFont="1" applyBorder="1" applyAlignment="1">
      <alignment horizontal="left"/>
    </xf>
    <xf numFmtId="10" fontId="24" fillId="3" borderId="0" xfId="1" applyNumberFormat="1" applyFont="1" applyFill="1" applyBorder="1" applyAlignment="1">
      <alignment horizontal="left"/>
    </xf>
    <xf numFmtId="0" fontId="29" fillId="5" borderId="1" xfId="0" applyFont="1" applyFill="1" applyBorder="1" applyAlignment="1">
      <alignment horizontal="left"/>
    </xf>
    <xf numFmtId="167" fontId="24" fillId="5" borderId="1" xfId="0" applyNumberFormat="1" applyFont="1" applyFill="1" applyBorder="1" applyAlignment="1">
      <alignment horizontal="left"/>
    </xf>
    <xf numFmtId="167" fontId="24" fillId="5" borderId="1" xfId="0" applyNumberFormat="1" applyFont="1" applyFill="1" applyBorder="1"/>
    <xf numFmtId="0" fontId="25" fillId="0" borderId="1" xfId="0" applyFont="1" applyBorder="1" applyAlignment="1">
      <alignment horizontal="center" vertical="center"/>
    </xf>
    <xf numFmtId="0" fontId="30" fillId="2" borderId="1" xfId="0" applyFont="1" applyFill="1" applyBorder="1" applyAlignment="1">
      <alignment horizontal="center" vertical="center"/>
    </xf>
    <xf numFmtId="0" fontId="31" fillId="2" borderId="1" xfId="0" applyFont="1" applyFill="1" applyBorder="1" applyAlignment="1">
      <alignment horizontal="center" vertical="center"/>
    </xf>
    <xf numFmtId="14" fontId="25" fillId="6" borderId="1" xfId="0" applyNumberFormat="1" applyFont="1" applyFill="1" applyBorder="1" applyAlignment="1">
      <alignment horizontal="center" vertical="center"/>
    </xf>
    <xf numFmtId="0" fontId="32" fillId="6" borderId="1" xfId="0" applyFont="1" applyFill="1" applyBorder="1" applyAlignment="1">
      <alignment horizontal="center" vertical="center"/>
    </xf>
    <xf numFmtId="0" fontId="33" fillId="6" borderId="1" xfId="0" applyFont="1" applyFill="1" applyBorder="1" applyAlignment="1">
      <alignment horizontal="center" vertical="center"/>
    </xf>
    <xf numFmtId="0" fontId="25" fillId="6" borderId="1" xfId="0" applyFont="1" applyFill="1" applyBorder="1" applyAlignment="1">
      <alignment horizontal="center" vertical="center"/>
    </xf>
    <xf numFmtId="14" fontId="33" fillId="6" borderId="1" xfId="0" applyNumberFormat="1" applyFont="1" applyFill="1" applyBorder="1" applyAlignment="1">
      <alignment horizontal="center" vertical="center"/>
    </xf>
    <xf numFmtId="14" fontId="25" fillId="6" borderId="5" xfId="0" applyNumberFormat="1" applyFont="1" applyFill="1" applyBorder="1" applyAlignment="1">
      <alignment horizontal="center" vertical="center"/>
    </xf>
    <xf numFmtId="0" fontId="33" fillId="6" borderId="6" xfId="0" applyFont="1" applyFill="1" applyBorder="1" applyAlignment="1">
      <alignment horizontal="center" vertical="center"/>
    </xf>
    <xf numFmtId="0" fontId="32" fillId="6" borderId="2" xfId="0" applyFont="1" applyFill="1" applyBorder="1" applyAlignment="1">
      <alignment horizontal="center" vertical="center"/>
    </xf>
    <xf numFmtId="0" fontId="34" fillId="6" borderId="5" xfId="0" applyFont="1" applyFill="1" applyBorder="1" applyAlignment="1">
      <alignment horizontal="right"/>
    </xf>
    <xf numFmtId="0" fontId="34" fillId="6" borderId="6" xfId="0" applyFont="1" applyFill="1" applyBorder="1" applyAlignment="1">
      <alignment vertical="center"/>
    </xf>
    <xf numFmtId="0" fontId="34" fillId="6" borderId="2" xfId="0" applyFont="1" applyFill="1" applyBorder="1" applyAlignment="1">
      <alignment vertical="center"/>
    </xf>
    <xf numFmtId="0" fontId="34" fillId="6" borderId="1" xfId="0" applyFont="1" applyFill="1" applyBorder="1" applyAlignment="1">
      <alignment horizontal="center" vertical="center"/>
    </xf>
    <xf numFmtId="14" fontId="33" fillId="6" borderId="6" xfId="0" applyNumberFormat="1" applyFont="1" applyFill="1" applyBorder="1" applyAlignment="1">
      <alignment horizontal="center" vertical="center"/>
    </xf>
    <xf numFmtId="0" fontId="34" fillId="6" borderId="5" xfId="0" applyFont="1" applyFill="1" applyBorder="1" applyAlignment="1">
      <alignment horizontal="center" vertical="center"/>
    </xf>
    <xf numFmtId="0" fontId="34" fillId="6" borderId="6" xfId="0" applyFont="1" applyFill="1" applyBorder="1" applyAlignment="1">
      <alignment horizontal="center" vertical="center"/>
    </xf>
    <xf numFmtId="0" fontId="34" fillId="6" borderId="2" xfId="0" applyFont="1" applyFill="1" applyBorder="1" applyAlignment="1">
      <alignment horizontal="center" vertical="center"/>
    </xf>
    <xf numFmtId="0" fontId="35" fillId="6" borderId="1" xfId="0" applyFont="1" applyFill="1" applyBorder="1" applyAlignment="1">
      <alignment horizontal="center" vertical="center"/>
    </xf>
    <xf numFmtId="0" fontId="37" fillId="0" borderId="1" xfId="0" applyFont="1" applyBorder="1" applyAlignment="1">
      <alignment horizontal="center" vertical="center"/>
    </xf>
    <xf numFmtId="0" fontId="38" fillId="0" borderId="0" xfId="0" applyFont="1" applyAlignment="1">
      <alignment horizontal="left" vertical="center" wrapText="1"/>
    </xf>
    <xf numFmtId="0" fontId="39" fillId="5" borderId="1" xfId="0" applyFont="1" applyFill="1" applyBorder="1" applyAlignment="1">
      <alignment horizontal="center" vertical="center" wrapText="1"/>
    </xf>
    <xf numFmtId="0" fontId="38" fillId="0" borderId="1" xfId="0" applyFont="1" applyBorder="1" applyAlignment="1">
      <alignment horizontal="left" vertical="center" wrapText="1"/>
    </xf>
    <xf numFmtId="0" fontId="38" fillId="0" borderId="7" xfId="0" applyFont="1" applyBorder="1" applyAlignment="1">
      <alignment horizontal="left" vertical="center" wrapText="1"/>
    </xf>
    <xf numFmtId="0" fontId="39" fillId="5" borderId="3" xfId="0" applyFont="1" applyFill="1" applyBorder="1" applyAlignment="1">
      <alignment horizontal="center" vertical="center" wrapText="1"/>
    </xf>
    <xf numFmtId="0" fontId="10" fillId="0" borderId="0" xfId="0" applyFont="1"/>
    <xf numFmtId="14" fontId="10" fillId="6" borderId="1" xfId="0" applyNumberFormat="1" applyFont="1" applyFill="1" applyBorder="1" applyAlignment="1">
      <alignment horizontal="left" vertical="center"/>
    </xf>
    <xf numFmtId="0" fontId="10" fillId="6" borderId="1" xfId="0" applyFont="1" applyFill="1" applyBorder="1" applyAlignment="1">
      <alignment horizontal="left" vertical="center"/>
    </xf>
    <xf numFmtId="0" fontId="40" fillId="0" borderId="0" xfId="0" applyFont="1"/>
    <xf numFmtId="0" fontId="41" fillId="0" borderId="0" xfId="0" applyFont="1" applyAlignment="1">
      <alignment horizontal="left" vertical="center"/>
    </xf>
    <xf numFmtId="0" fontId="42" fillId="0" borderId="9" xfId="0" applyFont="1" applyBorder="1" applyAlignment="1">
      <alignment horizontal="center" vertical="center"/>
    </xf>
    <xf numFmtId="0" fontId="41" fillId="0" borderId="9" xfId="0" applyFont="1" applyBorder="1" applyAlignment="1">
      <alignment horizontal="left" vertical="center"/>
    </xf>
    <xf numFmtId="0" fontId="43" fillId="2" borderId="1" xfId="0" applyFont="1" applyFill="1" applyBorder="1" applyAlignment="1">
      <alignment horizontal="center" vertical="center"/>
    </xf>
    <xf numFmtId="0" fontId="25" fillId="0" borderId="0" xfId="0" applyFont="1" applyAlignment="1">
      <alignment horizontal="center" vertical="center"/>
    </xf>
    <xf numFmtId="0" fontId="44" fillId="0" borderId="1" xfId="0" applyFont="1" applyBorder="1" applyAlignment="1">
      <alignment horizontal="center" vertical="center"/>
    </xf>
    <xf numFmtId="0" fontId="44" fillId="0" borderId="1" xfId="1" applyNumberFormat="1" applyFont="1" applyBorder="1" applyAlignment="1">
      <alignment horizontal="center" vertical="center"/>
    </xf>
    <xf numFmtId="0" fontId="43" fillId="5" borderId="1" xfId="0" applyFont="1" applyFill="1" applyBorder="1" applyAlignment="1">
      <alignment horizontal="center" vertical="center"/>
    </xf>
    <xf numFmtId="0" fontId="44" fillId="5" borderId="1" xfId="0" applyFont="1" applyFill="1" applyBorder="1" applyAlignment="1">
      <alignment horizontal="center" vertical="center"/>
    </xf>
    <xf numFmtId="0" fontId="44" fillId="5" borderId="1" xfId="1" applyNumberFormat="1" applyFont="1" applyFill="1" applyBorder="1" applyAlignment="1">
      <alignment horizontal="center" vertical="center"/>
    </xf>
    <xf numFmtId="0" fontId="45" fillId="0" borderId="0" xfId="0" applyFont="1" applyAlignment="1">
      <alignment horizontal="center" vertical="center"/>
    </xf>
    <xf numFmtId="0" fontId="46" fillId="7" borderId="1" xfId="0" applyFont="1" applyFill="1" applyBorder="1" applyAlignment="1">
      <alignment horizontal="center" vertical="center"/>
    </xf>
    <xf numFmtId="0" fontId="49" fillId="2" borderId="1" xfId="0" applyFont="1" applyFill="1" applyBorder="1" applyAlignment="1">
      <alignment horizontal="center" vertical="center"/>
    </xf>
    <xf numFmtId="0" fontId="50" fillId="2" borderId="9" xfId="0" applyFont="1" applyFill="1" applyBorder="1"/>
    <xf numFmtId="0" fontId="10" fillId="0" borderId="9" xfId="0" applyFont="1" applyBorder="1"/>
    <xf numFmtId="0" fontId="40" fillId="6" borderId="9" xfId="0" applyFont="1" applyFill="1" applyBorder="1" applyAlignment="1">
      <alignment horizontal="center"/>
    </xf>
    <xf numFmtId="0" fontId="40" fillId="6" borderId="11" xfId="0" applyFont="1" applyFill="1" applyBorder="1" applyAlignment="1">
      <alignment horizontal="center"/>
    </xf>
    <xf numFmtId="0" fontId="40" fillId="6" borderId="1" xfId="0" applyFont="1" applyFill="1" applyBorder="1" applyAlignment="1">
      <alignment horizontal="center"/>
    </xf>
    <xf numFmtId="0" fontId="40" fillId="3" borderId="0" xfId="0" applyFont="1" applyFill="1" applyAlignment="1">
      <alignment horizontal="center"/>
    </xf>
    <xf numFmtId="0" fontId="10" fillId="0" borderId="11" xfId="0" applyFont="1" applyBorder="1"/>
    <xf numFmtId="0" fontId="10" fillId="0" borderId="1" xfId="0" applyFont="1" applyBorder="1"/>
    <xf numFmtId="0" fontId="10" fillId="0" borderId="12" xfId="0" applyFont="1" applyBorder="1"/>
    <xf numFmtId="0" fontId="10" fillId="0" borderId="13" xfId="0" applyFont="1" applyBorder="1"/>
    <xf numFmtId="0" fontId="10" fillId="0" borderId="8" xfId="0" applyFont="1" applyBorder="1"/>
    <xf numFmtId="14" fontId="10" fillId="3" borderId="8" xfId="0" applyNumberFormat="1" applyFont="1" applyFill="1" applyBorder="1" applyAlignment="1">
      <alignment horizontal="left" vertical="center"/>
    </xf>
    <xf numFmtId="0" fontId="10" fillId="3" borderId="8" xfId="0" applyFont="1" applyFill="1" applyBorder="1" applyAlignment="1">
      <alignment horizontal="left" vertical="center"/>
    </xf>
    <xf numFmtId="14" fontId="10" fillId="3" borderId="9" xfId="0" applyNumberFormat="1" applyFont="1" applyFill="1" applyBorder="1" applyAlignment="1">
      <alignment horizontal="left" vertical="center"/>
    </xf>
    <xf numFmtId="0" fontId="10" fillId="3" borderId="9" xfId="0" applyFont="1" applyFill="1" applyBorder="1" applyAlignment="1">
      <alignment horizontal="left" vertical="center"/>
    </xf>
    <xf numFmtId="14" fontId="10" fillId="3" borderId="0" xfId="0" applyNumberFormat="1" applyFont="1" applyFill="1" applyAlignment="1">
      <alignment horizontal="left" vertical="center"/>
    </xf>
    <xf numFmtId="0" fontId="10" fillId="3" borderId="0" xfId="0" applyFont="1" applyFill="1" applyAlignment="1">
      <alignment horizontal="left" vertical="center"/>
    </xf>
    <xf numFmtId="0" fontId="0" fillId="0" borderId="0" xfId="0" applyAlignment="1">
      <alignment horizontal="center" vertical="center"/>
    </xf>
    <xf numFmtId="0" fontId="51" fillId="0" borderId="1" xfId="0" applyFont="1" applyBorder="1" applyAlignment="1">
      <alignment horizontal="center" vertical="center"/>
    </xf>
    <xf numFmtId="0" fontId="0" fillId="0" borderId="1" xfId="0" applyBorder="1" applyAlignment="1">
      <alignment horizontal="center" vertical="center"/>
    </xf>
    <xf numFmtId="0" fontId="9" fillId="3" borderId="1" xfId="0" applyFont="1" applyFill="1" applyBorder="1" applyAlignment="1">
      <alignment horizontal="center" vertical="center"/>
    </xf>
    <xf numFmtId="0" fontId="52" fillId="0" borderId="9" xfId="0" applyFont="1" applyBorder="1" applyAlignment="1">
      <alignment horizontal="center" vertical="center"/>
    </xf>
    <xf numFmtId="0" fontId="53" fillId="0" borderId="9" xfId="0" applyFont="1" applyBorder="1" applyAlignment="1">
      <alignment horizontal="left" vertical="center"/>
    </xf>
    <xf numFmtId="0" fontId="54" fillId="3" borderId="1" xfId="0" applyFont="1" applyFill="1" applyBorder="1" applyAlignment="1">
      <alignment horizontal="center" vertical="center"/>
    </xf>
    <xf numFmtId="0" fontId="55" fillId="3" borderId="1" xfId="0" applyFont="1" applyFill="1" applyBorder="1" applyAlignment="1">
      <alignment horizontal="center" vertical="center"/>
    </xf>
    <xf numFmtId="0" fontId="55" fillId="3" borderId="5" xfId="0" applyFont="1" applyFill="1" applyBorder="1" applyAlignment="1">
      <alignment horizontal="center" vertical="center"/>
    </xf>
    <xf numFmtId="0" fontId="56" fillId="3" borderId="1" xfId="0" applyFont="1" applyFill="1" applyBorder="1" applyAlignment="1">
      <alignment horizontal="center" vertical="center"/>
    </xf>
    <xf numFmtId="0" fontId="45" fillId="3" borderId="0" xfId="0" applyFont="1" applyFill="1" applyAlignment="1">
      <alignment horizontal="center" vertical="center"/>
    </xf>
    <xf numFmtId="167" fontId="55" fillId="3" borderId="1" xfId="0" applyNumberFormat="1" applyFont="1" applyFill="1" applyBorder="1" applyAlignment="1">
      <alignment horizontal="center" vertical="center"/>
    </xf>
    <xf numFmtId="167" fontId="56" fillId="3" borderId="1" xfId="0" applyNumberFormat="1" applyFont="1" applyFill="1" applyBorder="1" applyAlignment="1">
      <alignment horizontal="center" vertical="center"/>
    </xf>
    <xf numFmtId="0" fontId="57" fillId="3" borderId="1" xfId="0" applyFont="1" applyFill="1" applyBorder="1" applyAlignment="1">
      <alignment horizontal="center" vertical="center"/>
    </xf>
    <xf numFmtId="167" fontId="55" fillId="3" borderId="5" xfId="0" applyNumberFormat="1" applyFont="1" applyFill="1" applyBorder="1" applyAlignment="1">
      <alignment horizontal="center" vertical="center"/>
    </xf>
    <xf numFmtId="0" fontId="58" fillId="0" borderId="1" xfId="0" applyFont="1" applyBorder="1" applyAlignment="1">
      <alignment horizontal="center"/>
    </xf>
    <xf numFmtId="0" fontId="59" fillId="0" borderId="1" xfId="0" applyFont="1" applyBorder="1" applyAlignment="1">
      <alignment horizontal="right"/>
    </xf>
    <xf numFmtId="0" fontId="59" fillId="0" borderId="8" xfId="0" applyFont="1" applyBorder="1" applyAlignment="1">
      <alignment horizontal="right"/>
    </xf>
    <xf numFmtId="169" fontId="59" fillId="0" borderId="8" xfId="0" applyNumberFormat="1" applyFont="1" applyBorder="1" applyAlignment="1">
      <alignment horizontal="right"/>
    </xf>
    <xf numFmtId="2" fontId="59" fillId="0" borderId="1" xfId="0" applyNumberFormat="1" applyFont="1" applyBorder="1" applyAlignment="1">
      <alignment horizontal="right"/>
    </xf>
    <xf numFmtId="0" fontId="60" fillId="9" borderId="1" xfId="0" applyFont="1" applyFill="1" applyBorder="1"/>
    <xf numFmtId="0" fontId="12" fillId="0" borderId="0" xfId="0" applyFont="1" applyAlignment="1">
      <alignment vertical="center"/>
    </xf>
    <xf numFmtId="0" fontId="13" fillId="5" borderId="1" xfId="0" applyFont="1" applyFill="1" applyBorder="1" applyAlignment="1">
      <alignment horizontal="center" vertical="center"/>
    </xf>
    <xf numFmtId="0" fontId="12" fillId="0" borderId="3" xfId="0" applyFont="1" applyBorder="1" applyAlignment="1">
      <alignment horizontal="left" vertical="center" wrapText="1"/>
    </xf>
    <xf numFmtId="0" fontId="12" fillId="0" borderId="3" xfId="0" applyFont="1" applyBorder="1" applyAlignment="1">
      <alignment vertical="center"/>
    </xf>
    <xf numFmtId="0" fontId="12" fillId="0" borderId="1" xfId="0" applyFont="1" applyBorder="1" applyAlignment="1">
      <alignment horizontal="left" vertical="center" wrapText="1"/>
    </xf>
    <xf numFmtId="0" fontId="12" fillId="0" borderId="1" xfId="0" applyFont="1" applyBorder="1" applyAlignment="1">
      <alignment vertical="center"/>
    </xf>
    <xf numFmtId="0" fontId="13" fillId="5" borderId="2" xfId="0" applyFont="1" applyFill="1" applyBorder="1" applyAlignment="1">
      <alignment horizontal="center" vertical="center"/>
    </xf>
    <xf numFmtId="0" fontId="12" fillId="3" borderId="5" xfId="0" applyFont="1" applyFill="1" applyBorder="1" applyAlignment="1">
      <alignment horizontal="left" vertical="center"/>
    </xf>
    <xf numFmtId="14" fontId="12" fillId="3" borderId="0" xfId="0" applyNumberFormat="1" applyFont="1" applyFill="1" applyAlignment="1">
      <alignment horizontal="left" vertical="center"/>
    </xf>
    <xf numFmtId="0" fontId="12" fillId="3" borderId="0" xfId="0" applyFont="1" applyFill="1" applyAlignment="1">
      <alignment horizontal="left" vertical="center"/>
    </xf>
    <xf numFmtId="0" fontId="63" fillId="5" borderId="1" xfId="0" applyFont="1" applyFill="1" applyBorder="1" applyAlignment="1">
      <alignment horizontal="center" vertical="center"/>
    </xf>
    <xf numFmtId="0" fontId="64" fillId="0" borderId="0" xfId="0" applyFont="1" applyAlignment="1">
      <alignment horizontal="center" vertical="center"/>
    </xf>
    <xf numFmtId="0" fontId="64" fillId="0" borderId="1" xfId="0" applyFont="1" applyBorder="1" applyAlignment="1">
      <alignment horizontal="center" vertical="center" wrapText="1"/>
    </xf>
    <xf numFmtId="0" fontId="64" fillId="0" borderId="1" xfId="0" applyFont="1" applyBorder="1" applyAlignment="1">
      <alignment horizontal="center" vertical="center"/>
    </xf>
    <xf numFmtId="0" fontId="64" fillId="0" borderId="0" xfId="0" applyFont="1" applyAlignment="1">
      <alignment horizontal="center" vertical="center" wrapText="1"/>
    </xf>
    <xf numFmtId="0" fontId="64" fillId="3" borderId="1" xfId="0" applyFont="1" applyFill="1" applyBorder="1" applyAlignment="1">
      <alignment horizontal="center" vertical="center"/>
    </xf>
    <xf numFmtId="0" fontId="51" fillId="0" borderId="0" xfId="0" applyFont="1" applyAlignment="1">
      <alignment horizontal="center" vertical="center"/>
    </xf>
    <xf numFmtId="0" fontId="51" fillId="0" borderId="1" xfId="0" applyFont="1" applyBorder="1" applyAlignment="1">
      <alignment horizontal="center" vertical="center" wrapText="1"/>
    </xf>
    <xf numFmtId="0" fontId="51" fillId="0" borderId="0" xfId="0" applyFont="1" applyAlignment="1">
      <alignment horizontal="center" vertical="center" wrapText="1"/>
    </xf>
    <xf numFmtId="0" fontId="51" fillId="5" borderId="1" xfId="0" applyFont="1" applyFill="1" applyBorder="1" applyAlignment="1">
      <alignment horizontal="center" vertical="center"/>
    </xf>
    <xf numFmtId="0" fontId="12" fillId="0" borderId="0" xfId="0" applyFont="1"/>
    <xf numFmtId="0" fontId="65" fillId="0" borderId="1" xfId="0" applyFont="1" applyBorder="1" applyAlignment="1">
      <alignment horizontal="center" vertical="center"/>
    </xf>
    <xf numFmtId="0" fontId="15" fillId="3" borderId="1" xfId="0" applyFont="1" applyFill="1" applyBorder="1" applyAlignment="1">
      <alignment horizontal="center" vertical="center"/>
    </xf>
    <xf numFmtId="0" fontId="12" fillId="3" borderId="1" xfId="0" applyFont="1" applyFill="1" applyBorder="1" applyAlignment="1" applyProtection="1">
      <alignment horizontal="center" vertical="center"/>
      <protection locked="0"/>
    </xf>
    <xf numFmtId="167" fontId="12" fillId="3" borderId="1" xfId="0" applyNumberFormat="1" applyFont="1" applyFill="1" applyBorder="1" applyAlignment="1" applyProtection="1">
      <alignment horizontal="center" vertical="center"/>
      <protection locked="0"/>
    </xf>
    <xf numFmtId="0" fontId="65" fillId="3" borderId="1" xfId="0" applyFont="1" applyFill="1" applyBorder="1" applyAlignment="1">
      <alignment horizontal="center" vertical="center"/>
    </xf>
    <xf numFmtId="0" fontId="12" fillId="5" borderId="1" xfId="0" applyFont="1" applyFill="1" applyBorder="1" applyAlignment="1">
      <alignment horizontal="center" vertical="center"/>
    </xf>
    <xf numFmtId="0" fontId="51" fillId="10" borderId="1" xfId="0" applyFont="1" applyFill="1" applyBorder="1" applyAlignment="1">
      <alignment horizontal="center" vertical="center"/>
    </xf>
    <xf numFmtId="0" fontId="12" fillId="10" borderId="1" xfId="0" applyFont="1" applyFill="1" applyBorder="1" applyAlignment="1">
      <alignment horizontal="center" vertical="center"/>
    </xf>
    <xf numFmtId="0" fontId="51" fillId="3" borderId="1" xfId="0" applyFont="1" applyFill="1" applyBorder="1" applyAlignment="1">
      <alignment horizontal="center" vertical="center"/>
    </xf>
    <xf numFmtId="0" fontId="12" fillId="0" borderId="1" xfId="0" applyFont="1" applyBorder="1" applyAlignment="1">
      <alignment horizontal="center" vertical="center"/>
    </xf>
    <xf numFmtId="0" fontId="51" fillId="11" borderId="1" xfId="0" applyFont="1" applyFill="1" applyBorder="1" applyAlignment="1">
      <alignment horizontal="center" vertical="center"/>
    </xf>
    <xf numFmtId="0" fontId="12" fillId="11" borderId="1" xfId="0" applyFont="1" applyFill="1" applyBorder="1" applyAlignment="1">
      <alignment horizontal="center" vertical="center"/>
    </xf>
    <xf numFmtId="0" fontId="48" fillId="0" borderId="0" xfId="0" applyFont="1"/>
    <xf numFmtId="0" fontId="0" fillId="0" borderId="19" xfId="0" applyBorder="1"/>
    <xf numFmtId="0" fontId="0" fillId="0" borderId="1" xfId="0" applyBorder="1" applyAlignment="1">
      <alignment horizontal="left" vertical="center"/>
    </xf>
    <xf numFmtId="0" fontId="0" fillId="0" borderId="2" xfId="0" applyBorder="1" applyAlignment="1">
      <alignment horizontal="left" vertical="center"/>
    </xf>
    <xf numFmtId="167" fontId="0" fillId="0" borderId="5" xfId="0" applyNumberFormat="1"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0" fillId="0" borderId="10" xfId="0" applyBorder="1" applyAlignment="1">
      <alignment horizontal="left" vertical="center"/>
    </xf>
    <xf numFmtId="0" fontId="0" fillId="0" borderId="18" xfId="0" applyBorder="1" applyAlignment="1">
      <alignment horizontal="left" vertical="center"/>
    </xf>
    <xf numFmtId="0" fontId="0" fillId="0" borderId="8" xfId="0" applyBorder="1" applyAlignment="1">
      <alignment horizontal="left" vertical="center"/>
    </xf>
    <xf numFmtId="167" fontId="0" fillId="0" borderId="17" xfId="0" applyNumberFormat="1" applyBorder="1" applyAlignment="1">
      <alignment horizontal="left" vertical="center"/>
    </xf>
    <xf numFmtId="14" fontId="10" fillId="4" borderId="1" xfId="0" applyNumberFormat="1" applyFont="1" applyFill="1" applyBorder="1" applyAlignment="1">
      <alignment horizontal="left" vertical="center"/>
    </xf>
    <xf numFmtId="0" fontId="10" fillId="4" borderId="1" xfId="0" applyFont="1" applyFill="1" applyBorder="1" applyAlignment="1">
      <alignment horizontal="left" vertical="center"/>
    </xf>
    <xf numFmtId="0" fontId="66" fillId="13" borderId="1" xfId="0" applyFont="1" applyFill="1" applyBorder="1" applyAlignment="1">
      <alignment horizontal="center" vertical="center" wrapText="1"/>
    </xf>
    <xf numFmtId="0" fontId="67" fillId="0" borderId="0" xfId="0" applyFont="1" applyAlignment="1">
      <alignment horizontal="center" vertical="center" wrapText="1"/>
    </xf>
    <xf numFmtId="0" fontId="67" fillId="0" borderId="1" xfId="0" applyFont="1" applyBorder="1" applyAlignment="1">
      <alignment horizontal="center" vertical="center" wrapText="1"/>
    </xf>
    <xf numFmtId="0" fontId="67" fillId="0" borderId="1" xfId="0" applyFont="1" applyBorder="1" applyAlignment="1">
      <alignment horizontal="center" vertical="center"/>
    </xf>
    <xf numFmtId="0" fontId="67" fillId="0" borderId="0" xfId="0" applyFont="1" applyAlignment="1">
      <alignment horizontal="center" vertical="center"/>
    </xf>
    <xf numFmtId="0" fontId="66" fillId="4" borderId="1" xfId="0" applyFont="1" applyFill="1" applyBorder="1" applyAlignment="1">
      <alignment horizontal="center" vertical="center"/>
    </xf>
    <xf numFmtId="0" fontId="67" fillId="4" borderId="1" xfId="0" applyFont="1" applyFill="1" applyBorder="1" applyAlignment="1">
      <alignment horizontal="center" vertical="center"/>
    </xf>
    <xf numFmtId="0" fontId="66" fillId="14" borderId="1" xfId="0" applyFont="1" applyFill="1" applyBorder="1" applyAlignment="1">
      <alignment horizontal="center" vertical="center"/>
    </xf>
    <xf numFmtId="0" fontId="69" fillId="14" borderId="1" xfId="0" applyFont="1" applyFill="1" applyBorder="1" applyAlignment="1">
      <alignment horizontal="center" vertical="center"/>
    </xf>
    <xf numFmtId="0" fontId="72" fillId="9" borderId="1" xfId="0" applyFont="1" applyFill="1" applyBorder="1" applyAlignment="1">
      <alignment horizontal="center" vertical="center"/>
    </xf>
    <xf numFmtId="14" fontId="73" fillId="13" borderId="1" xfId="0" applyNumberFormat="1" applyFont="1" applyFill="1" applyBorder="1" applyAlignment="1">
      <alignment horizontal="center" vertical="center"/>
    </xf>
    <xf numFmtId="14" fontId="73" fillId="13" borderId="8" xfId="0" applyNumberFormat="1" applyFont="1" applyFill="1" applyBorder="1" applyAlignment="1">
      <alignment horizontal="center" vertical="center"/>
    </xf>
    <xf numFmtId="14" fontId="73" fillId="13" borderId="9" xfId="0" applyNumberFormat="1" applyFont="1" applyFill="1" applyBorder="1" applyAlignment="1">
      <alignment horizontal="center" vertical="center"/>
    </xf>
    <xf numFmtId="0" fontId="74" fillId="0" borderId="0" xfId="0" applyFont="1"/>
    <xf numFmtId="0" fontId="0" fillId="3" borderId="1" xfId="0" applyFill="1" applyBorder="1" applyAlignment="1">
      <alignment horizontal="left" vertical="center"/>
    </xf>
    <xf numFmtId="0" fontId="71" fillId="15" borderId="1" xfId="0" applyFont="1" applyFill="1" applyBorder="1" applyAlignment="1">
      <alignment horizontal="center" vertical="center"/>
    </xf>
    <xf numFmtId="14" fontId="74" fillId="3" borderId="1" xfId="0" applyNumberFormat="1" applyFont="1" applyFill="1" applyBorder="1" applyAlignment="1">
      <alignment horizontal="left" vertical="center"/>
    </xf>
    <xf numFmtId="0" fontId="74" fillId="3" borderId="1" xfId="0" applyFont="1" applyFill="1" applyBorder="1" applyAlignment="1">
      <alignment horizontal="left" vertical="center"/>
    </xf>
    <xf numFmtId="14" fontId="74" fillId="0" borderId="0" xfId="0" applyNumberFormat="1" applyFont="1"/>
    <xf numFmtId="49" fontId="74" fillId="0" borderId="0" xfId="0" applyNumberFormat="1" applyFont="1"/>
    <xf numFmtId="170" fontId="74" fillId="3" borderId="1" xfId="0" applyNumberFormat="1" applyFont="1" applyFill="1" applyBorder="1" applyAlignment="1">
      <alignment horizontal="left" vertical="center"/>
    </xf>
    <xf numFmtId="171" fontId="74" fillId="3" borderId="1" xfId="0" applyNumberFormat="1" applyFont="1" applyFill="1" applyBorder="1" applyAlignment="1">
      <alignment horizontal="left" vertical="center"/>
    </xf>
    <xf numFmtId="172" fontId="74" fillId="3" borderId="1" xfId="0" applyNumberFormat="1" applyFont="1" applyFill="1" applyBorder="1" applyAlignment="1">
      <alignment horizontal="left" vertical="center"/>
    </xf>
    <xf numFmtId="173" fontId="74" fillId="3" borderId="1" xfId="0" applyNumberFormat="1" applyFont="1" applyFill="1" applyBorder="1" applyAlignment="1">
      <alignment horizontal="left" vertical="center"/>
    </xf>
    <xf numFmtId="174" fontId="74" fillId="3" borderId="1" xfId="0" applyNumberFormat="1" applyFont="1" applyFill="1" applyBorder="1" applyAlignment="1">
      <alignment horizontal="left" vertical="center"/>
    </xf>
    <xf numFmtId="1" fontId="74" fillId="3" borderId="1" xfId="0" applyNumberFormat="1" applyFont="1" applyFill="1" applyBorder="1" applyAlignment="1">
      <alignment horizontal="left" vertical="center"/>
    </xf>
    <xf numFmtId="175" fontId="74" fillId="3" borderId="1" xfId="0" applyNumberFormat="1" applyFont="1" applyFill="1" applyBorder="1" applyAlignment="1">
      <alignment horizontal="left" vertical="center"/>
    </xf>
    <xf numFmtId="176" fontId="74" fillId="3" borderId="1" xfId="0" applyNumberFormat="1" applyFont="1" applyFill="1" applyBorder="1" applyAlignment="1">
      <alignment horizontal="left" vertical="center"/>
    </xf>
    <xf numFmtId="177" fontId="74" fillId="3" borderId="1" xfId="0" applyNumberFormat="1" applyFont="1" applyFill="1" applyBorder="1" applyAlignment="1">
      <alignment horizontal="left" vertical="center"/>
    </xf>
    <xf numFmtId="179" fontId="74" fillId="0" borderId="0" xfId="0" applyNumberFormat="1" applyFont="1"/>
    <xf numFmtId="14" fontId="74" fillId="8" borderId="1" xfId="0" applyNumberFormat="1" applyFont="1" applyFill="1" applyBorder="1" applyAlignment="1">
      <alignment horizontal="left" vertical="center"/>
    </xf>
    <xf numFmtId="0" fontId="74" fillId="8" borderId="1" xfId="0" applyFont="1" applyFill="1" applyBorder="1" applyAlignment="1">
      <alignment horizontal="left" vertical="center"/>
    </xf>
    <xf numFmtId="1" fontId="74" fillId="8" borderId="1" xfId="0" applyNumberFormat="1" applyFont="1" applyFill="1" applyBorder="1" applyAlignment="1">
      <alignment horizontal="left" vertical="center"/>
    </xf>
    <xf numFmtId="178" fontId="74" fillId="8" borderId="1" xfId="0" applyNumberFormat="1" applyFont="1" applyFill="1" applyBorder="1" applyAlignment="1">
      <alignment horizontal="left" vertical="center"/>
    </xf>
    <xf numFmtId="175" fontId="74" fillId="8" borderId="1" xfId="0" applyNumberFormat="1" applyFont="1" applyFill="1" applyBorder="1" applyAlignment="1">
      <alignment horizontal="left" vertical="center"/>
    </xf>
    <xf numFmtId="0" fontId="78" fillId="13" borderId="1" xfId="0" applyFont="1" applyFill="1" applyBorder="1" applyAlignment="1">
      <alignment horizontal="center" vertical="center" wrapText="1"/>
    </xf>
    <xf numFmtId="0" fontId="78" fillId="13" borderId="5" xfId="0" applyFont="1" applyFill="1" applyBorder="1" applyAlignment="1">
      <alignment horizontal="center" vertical="center" wrapText="1"/>
    </xf>
    <xf numFmtId="0" fontId="77" fillId="0" borderId="5" xfId="0" applyFont="1" applyBorder="1" applyAlignment="1">
      <alignment horizontal="center" vertical="center"/>
    </xf>
    <xf numFmtId="180" fontId="77" fillId="0" borderId="1" xfId="0" applyNumberFormat="1" applyFont="1" applyBorder="1" applyAlignment="1">
      <alignment horizontal="center" vertical="center" wrapText="1"/>
    </xf>
    <xf numFmtId="0" fontId="77" fillId="0" borderId="5" xfId="0" applyFont="1" applyBorder="1" applyAlignment="1">
      <alignment horizontal="center" vertical="center" wrapText="1"/>
    </xf>
    <xf numFmtId="0" fontId="77" fillId="0" borderId="0" xfId="0" applyFont="1" applyAlignment="1">
      <alignment horizontal="center" vertical="center"/>
    </xf>
    <xf numFmtId="0" fontId="77" fillId="0" borderId="1" xfId="0" applyFont="1" applyBorder="1" applyAlignment="1">
      <alignment horizontal="center" vertical="center"/>
    </xf>
    <xf numFmtId="0" fontId="77" fillId="0" borderId="1" xfId="0" applyFont="1" applyBorder="1" applyAlignment="1">
      <alignment horizontal="center" vertical="center" wrapText="1"/>
    </xf>
    <xf numFmtId="0" fontId="77" fillId="0" borderId="2" xfId="0" applyFont="1" applyBorder="1" applyAlignment="1">
      <alignment horizontal="center" vertical="center" wrapText="1"/>
    </xf>
    <xf numFmtId="167" fontId="77" fillId="0" borderId="1" xfId="0" applyNumberFormat="1" applyFont="1" applyBorder="1" applyAlignment="1">
      <alignment horizontal="center" vertical="center"/>
    </xf>
    <xf numFmtId="0" fontId="77" fillId="0" borderId="8" xfId="0" applyFont="1" applyBorder="1" applyAlignment="1">
      <alignment horizontal="center" vertical="center" wrapText="1"/>
    </xf>
    <xf numFmtId="180" fontId="77" fillId="0" borderId="8" xfId="0" applyNumberFormat="1" applyFont="1" applyBorder="1" applyAlignment="1">
      <alignment horizontal="center" vertical="center" wrapText="1"/>
    </xf>
    <xf numFmtId="0" fontId="78" fillId="13" borderId="3" xfId="0" applyFont="1" applyFill="1" applyBorder="1" applyAlignment="1">
      <alignment horizontal="center" vertical="center" wrapText="1"/>
    </xf>
    <xf numFmtId="0" fontId="77" fillId="0" borderId="17" xfId="0" applyFont="1" applyBorder="1" applyAlignment="1">
      <alignment horizontal="center" vertical="center" wrapText="1"/>
    </xf>
    <xf numFmtId="0" fontId="78" fillId="13" borderId="10" xfId="0" applyFont="1" applyFill="1" applyBorder="1" applyAlignment="1">
      <alignment horizontal="center" vertical="center" wrapText="1"/>
    </xf>
    <xf numFmtId="167" fontId="77" fillId="0" borderId="5" xfId="0" applyNumberFormat="1" applyFont="1" applyBorder="1" applyAlignment="1">
      <alignment horizontal="center" vertical="center"/>
    </xf>
    <xf numFmtId="0" fontId="77" fillId="0" borderId="24" xfId="0" applyFont="1" applyBorder="1" applyAlignment="1">
      <alignment horizontal="center" vertical="center"/>
    </xf>
    <xf numFmtId="0" fontId="77" fillId="0" borderId="25" xfId="0" applyFont="1" applyBorder="1" applyAlignment="1">
      <alignment horizontal="center" vertical="center"/>
    </xf>
    <xf numFmtId="0" fontId="78" fillId="13" borderId="2" xfId="0" applyFont="1" applyFill="1" applyBorder="1" applyAlignment="1">
      <alignment horizontal="center" vertical="center" wrapText="1"/>
    </xf>
    <xf numFmtId="0" fontId="77" fillId="0" borderId="18" xfId="0" applyFont="1" applyBorder="1" applyAlignment="1">
      <alignment horizontal="center" vertical="center" wrapText="1"/>
    </xf>
    <xf numFmtId="0" fontId="77" fillId="0" borderId="2" xfId="0" applyFont="1" applyBorder="1" applyAlignment="1">
      <alignment horizontal="center" vertical="center"/>
    </xf>
    <xf numFmtId="0" fontId="77" fillId="0" borderId="23" xfId="0" applyFont="1" applyBorder="1" applyAlignment="1">
      <alignment horizontal="center" vertical="center"/>
    </xf>
    <xf numFmtId="0" fontId="78" fillId="3" borderId="25" xfId="0" applyFont="1" applyFill="1" applyBorder="1" applyAlignment="1">
      <alignment horizontal="center" vertical="center" wrapText="1"/>
    </xf>
    <xf numFmtId="0" fontId="77" fillId="0" borderId="17" xfId="0" applyFont="1" applyBorder="1" applyAlignment="1">
      <alignment horizontal="center" vertical="center"/>
    </xf>
    <xf numFmtId="0" fontId="78" fillId="3" borderId="24" xfId="0" applyFont="1" applyFill="1" applyBorder="1" applyAlignment="1">
      <alignment horizontal="center" vertical="center" wrapText="1"/>
    </xf>
    <xf numFmtId="0" fontId="77" fillId="3" borderId="3" xfId="0" applyFont="1" applyFill="1" applyBorder="1" applyAlignment="1">
      <alignment horizontal="center" vertical="center" wrapText="1"/>
    </xf>
    <xf numFmtId="0" fontId="80" fillId="13" borderId="1" xfId="0" applyFont="1" applyFill="1" applyBorder="1" applyAlignment="1">
      <alignment horizontal="center" vertical="center"/>
    </xf>
    <xf numFmtId="0" fontId="76" fillId="13" borderId="1" xfId="0" applyFont="1" applyFill="1" applyBorder="1" applyAlignment="1">
      <alignment horizontal="center" vertical="center" wrapText="1"/>
    </xf>
    <xf numFmtId="0" fontId="75" fillId="0" borderId="0" xfId="0" applyFont="1" applyAlignment="1">
      <alignment horizontal="center" vertical="center" wrapText="1"/>
    </xf>
    <xf numFmtId="0" fontId="75" fillId="13" borderId="1" xfId="0" applyFont="1" applyFill="1" applyBorder="1" applyAlignment="1">
      <alignment horizontal="left" vertical="center" wrapText="1"/>
    </xf>
    <xf numFmtId="0" fontId="76" fillId="0" borderId="1" xfId="0" applyFont="1" applyBorder="1" applyAlignment="1">
      <alignment horizontal="center" vertical="center" wrapText="1"/>
    </xf>
    <xf numFmtId="14" fontId="75" fillId="0" borderId="1" xfId="0" applyNumberFormat="1" applyFont="1" applyBorder="1" applyAlignment="1">
      <alignment horizontal="center" vertical="center" wrapText="1"/>
    </xf>
    <xf numFmtId="1" fontId="75" fillId="0" borderId="1" xfId="0" applyNumberFormat="1" applyFont="1" applyBorder="1" applyAlignment="1">
      <alignment horizontal="center" vertical="center" wrapText="1"/>
    </xf>
    <xf numFmtId="0" fontId="75" fillId="0" borderId="1" xfId="0" applyFont="1" applyBorder="1" applyAlignment="1">
      <alignment horizontal="center" vertical="center" wrapText="1"/>
    </xf>
    <xf numFmtId="181" fontId="75" fillId="0" borderId="1" xfId="0" applyNumberFormat="1" applyFont="1" applyBorder="1" applyAlignment="1">
      <alignment horizontal="center" vertical="center" wrapText="1"/>
    </xf>
    <xf numFmtId="0" fontId="75" fillId="13" borderId="1" xfId="0" applyFont="1" applyFill="1" applyBorder="1" applyAlignment="1">
      <alignment horizontal="center" vertical="center" wrapText="1"/>
    </xf>
    <xf numFmtId="22" fontId="75" fillId="0" borderId="1" xfId="0" applyNumberFormat="1" applyFont="1" applyBorder="1" applyAlignment="1">
      <alignment horizontal="center" vertical="center" wrapText="1"/>
    </xf>
    <xf numFmtId="14" fontId="75" fillId="0" borderId="0" xfId="0" applyNumberFormat="1" applyFont="1" applyAlignment="1">
      <alignment horizontal="center" vertical="center" wrapText="1"/>
    </xf>
    <xf numFmtId="182" fontId="75" fillId="0" borderId="1" xfId="0" applyNumberFormat="1" applyFont="1" applyBorder="1" applyAlignment="1">
      <alignment horizontal="center" vertical="center" wrapText="1"/>
    </xf>
    <xf numFmtId="0" fontId="83" fillId="16" borderId="1" xfId="2" applyFont="1" applyFill="1" applyBorder="1" applyAlignment="1">
      <alignment horizontal="left" vertical="top" wrapText="1"/>
    </xf>
    <xf numFmtId="183" fontId="75" fillId="0" borderId="1" xfId="0" applyNumberFormat="1" applyFont="1" applyBorder="1" applyAlignment="1">
      <alignment horizontal="left" vertical="center" wrapText="1"/>
    </xf>
    <xf numFmtId="0" fontId="75" fillId="0" borderId="1" xfId="0" applyFont="1" applyBorder="1" applyAlignment="1">
      <alignment horizontal="left" vertical="center" wrapText="1"/>
    </xf>
    <xf numFmtId="183" fontId="75" fillId="16" borderId="1" xfId="0" applyNumberFormat="1" applyFont="1" applyFill="1" applyBorder="1" applyAlignment="1">
      <alignment horizontal="left" vertical="top"/>
    </xf>
    <xf numFmtId="0" fontId="75" fillId="16" borderId="1" xfId="0" applyFont="1" applyFill="1" applyBorder="1" applyAlignment="1">
      <alignment horizontal="left" vertical="top"/>
    </xf>
    <xf numFmtId="0" fontId="78" fillId="17" borderId="1" xfId="0" applyFont="1" applyFill="1" applyBorder="1" applyAlignment="1">
      <alignment horizontal="center" vertical="center"/>
    </xf>
    <xf numFmtId="0" fontId="77" fillId="3" borderId="1" xfId="0" applyFont="1" applyFill="1" applyBorder="1" applyAlignment="1">
      <alignment horizontal="center" vertical="center"/>
    </xf>
    <xf numFmtId="0" fontId="77" fillId="19" borderId="1" xfId="0" applyFont="1" applyFill="1" applyBorder="1" applyAlignment="1">
      <alignment horizontal="center" vertical="center"/>
    </xf>
    <xf numFmtId="14" fontId="86" fillId="3" borderId="1" xfId="0" applyNumberFormat="1" applyFont="1" applyFill="1" applyBorder="1" applyAlignment="1">
      <alignment horizontal="center" vertical="center"/>
    </xf>
    <xf numFmtId="167" fontId="77" fillId="19" borderId="1" xfId="0" applyNumberFormat="1" applyFont="1" applyFill="1" applyBorder="1" applyAlignment="1">
      <alignment horizontal="center" vertical="center"/>
    </xf>
    <xf numFmtId="0" fontId="77" fillId="18" borderId="1" xfId="0" applyFont="1" applyFill="1" applyBorder="1" applyAlignment="1">
      <alignment horizontal="center" vertical="center"/>
    </xf>
    <xf numFmtId="167" fontId="77" fillId="18" borderId="1" xfId="0" applyNumberFormat="1" applyFont="1" applyFill="1" applyBorder="1" applyAlignment="1">
      <alignment horizontal="center" vertical="center"/>
    </xf>
    <xf numFmtId="14" fontId="86" fillId="3" borderId="8" xfId="0" applyNumberFormat="1" applyFont="1" applyFill="1" applyBorder="1" applyAlignment="1">
      <alignment horizontal="center" vertical="center"/>
    </xf>
    <xf numFmtId="14" fontId="86" fillId="3" borderId="9" xfId="0" applyNumberFormat="1" applyFont="1" applyFill="1" applyBorder="1" applyAlignment="1">
      <alignment horizontal="center" vertical="center"/>
    </xf>
    <xf numFmtId="0" fontId="85" fillId="17" borderId="1" xfId="0" applyFont="1" applyFill="1" applyBorder="1" applyAlignment="1">
      <alignment horizontal="center" vertical="center"/>
    </xf>
    <xf numFmtId="167" fontId="85" fillId="17" borderId="1" xfId="0" applyNumberFormat="1" applyFont="1" applyFill="1" applyBorder="1" applyAlignment="1">
      <alignment horizontal="center" vertical="center"/>
    </xf>
    <xf numFmtId="0" fontId="0" fillId="19" borderId="1" xfId="0" applyFill="1" applyBorder="1" applyAlignment="1">
      <alignment horizontal="left" vertical="center"/>
    </xf>
    <xf numFmtId="0" fontId="0" fillId="18" borderId="1" xfId="0" applyFill="1" applyBorder="1" applyAlignment="1">
      <alignment horizontal="left" vertical="center"/>
    </xf>
    <xf numFmtId="0" fontId="84" fillId="20" borderId="1" xfId="0" applyFont="1" applyFill="1" applyBorder="1" applyAlignment="1">
      <alignment horizontal="left" vertical="center"/>
    </xf>
    <xf numFmtId="14" fontId="87" fillId="3" borderId="1" xfId="0" applyNumberFormat="1" applyFont="1" applyFill="1" applyBorder="1" applyAlignment="1">
      <alignment horizontal="left" vertical="center"/>
    </xf>
    <xf numFmtId="167" fontId="0" fillId="19" borderId="1" xfId="0" applyNumberFormat="1" applyFill="1" applyBorder="1" applyAlignment="1">
      <alignment horizontal="left" vertical="center"/>
    </xf>
    <xf numFmtId="167" fontId="0" fillId="18" borderId="1" xfId="0" applyNumberFormat="1" applyFill="1" applyBorder="1" applyAlignment="1">
      <alignment horizontal="left" vertical="center"/>
    </xf>
    <xf numFmtId="14" fontId="87" fillId="3" borderId="8" xfId="0" applyNumberFormat="1" applyFont="1" applyFill="1" applyBorder="1" applyAlignment="1">
      <alignment horizontal="left" vertical="center"/>
    </xf>
    <xf numFmtId="14" fontId="87" fillId="3" borderId="9" xfId="0" applyNumberFormat="1" applyFont="1" applyFill="1" applyBorder="1" applyAlignment="1">
      <alignment horizontal="left" vertical="center"/>
    </xf>
    <xf numFmtId="0" fontId="84" fillId="17" borderId="1" xfId="0" applyFont="1" applyFill="1" applyBorder="1" applyAlignment="1">
      <alignment horizontal="left" vertical="center"/>
    </xf>
    <xf numFmtId="0" fontId="8" fillId="17" borderId="1" xfId="0" applyFont="1" applyFill="1" applyBorder="1" applyAlignment="1">
      <alignment horizontal="left" vertical="center"/>
    </xf>
    <xf numFmtId="167" fontId="84" fillId="17" borderId="1" xfId="0" applyNumberFormat="1" applyFont="1" applyFill="1" applyBorder="1" applyAlignment="1">
      <alignment horizontal="left" vertical="center"/>
    </xf>
    <xf numFmtId="0" fontId="0" fillId="0" borderId="1" xfId="0" applyBorder="1"/>
    <xf numFmtId="0" fontId="88" fillId="9" borderId="1" xfId="0" applyFont="1" applyFill="1" applyBorder="1" applyAlignment="1">
      <alignment horizontal="center" vertical="center"/>
    </xf>
    <xf numFmtId="0" fontId="0" fillId="0" borderId="0" xfId="0" pivotButton="1"/>
    <xf numFmtId="0" fontId="0" fillId="0" borderId="0" xfId="0" applyAlignment="1">
      <alignment horizontal="left"/>
    </xf>
    <xf numFmtId="14" fontId="0" fillId="0" borderId="0" xfId="0" applyNumberFormat="1"/>
    <xf numFmtId="1" fontId="73" fillId="13" borderId="1" xfId="0" applyNumberFormat="1" applyFont="1" applyFill="1" applyBorder="1" applyAlignment="1">
      <alignment horizontal="center" vertical="center"/>
    </xf>
    <xf numFmtId="0" fontId="78" fillId="3" borderId="0" xfId="0" applyFont="1" applyFill="1" applyAlignment="1">
      <alignment horizontal="center" vertical="center" wrapText="1"/>
    </xf>
    <xf numFmtId="0" fontId="0" fillId="0" borderId="0" xfId="0" applyAlignment="1">
      <alignment wrapText="1"/>
    </xf>
    <xf numFmtId="0" fontId="88" fillId="9" borderId="1" xfId="0" applyFont="1" applyFill="1" applyBorder="1" applyAlignment="1">
      <alignment horizontal="center" vertical="center" wrapText="1"/>
    </xf>
    <xf numFmtId="0" fontId="87" fillId="13" borderId="1" xfId="0" applyFont="1" applyFill="1" applyBorder="1" applyAlignment="1">
      <alignment horizontal="left" vertical="center" wrapText="1"/>
    </xf>
    <xf numFmtId="14" fontId="87" fillId="13" borderId="1" xfId="0" applyNumberFormat="1" applyFont="1" applyFill="1" applyBorder="1" applyAlignment="1">
      <alignment horizontal="left" vertical="center" wrapText="1"/>
    </xf>
    <xf numFmtId="167" fontId="87" fillId="13" borderId="1" xfId="0" applyNumberFormat="1" applyFont="1" applyFill="1" applyBorder="1" applyAlignment="1">
      <alignment horizontal="left" vertical="center" wrapText="1"/>
    </xf>
    <xf numFmtId="0" fontId="90" fillId="0" borderId="1" xfId="0" applyFont="1" applyBorder="1" applyAlignment="1">
      <alignment horizontal="center" vertical="center"/>
    </xf>
    <xf numFmtId="0" fontId="89" fillId="0" borderId="1" xfId="0" applyFont="1" applyBorder="1" applyAlignment="1">
      <alignment horizontal="center" vertical="center"/>
    </xf>
    <xf numFmtId="2" fontId="89" fillId="0" borderId="1" xfId="0" applyNumberFormat="1" applyFont="1" applyBorder="1" applyAlignment="1">
      <alignment horizontal="center" vertical="center"/>
    </xf>
    <xf numFmtId="10" fontId="90" fillId="0" borderId="1" xfId="0" applyNumberFormat="1" applyFont="1" applyBorder="1" applyAlignment="1">
      <alignment horizontal="center" vertical="center"/>
    </xf>
    <xf numFmtId="10" fontId="89" fillId="0" borderId="1" xfId="0" applyNumberFormat="1" applyFont="1" applyBorder="1" applyAlignment="1">
      <alignment horizontal="center" vertical="center"/>
    </xf>
    <xf numFmtId="0" fontId="9" fillId="4" borderId="1" xfId="0" applyFont="1" applyFill="1" applyBorder="1" applyAlignment="1">
      <alignment horizontal="center" vertical="center"/>
    </xf>
    <xf numFmtId="14" fontId="11" fillId="21" borderId="1" xfId="0" applyNumberFormat="1" applyFont="1" applyFill="1" applyBorder="1" applyAlignment="1">
      <alignment horizontal="left" vertical="center"/>
    </xf>
    <xf numFmtId="14" fontId="11" fillId="21" borderId="2" xfId="0" applyNumberFormat="1" applyFont="1" applyFill="1" applyBorder="1" applyAlignment="1">
      <alignment horizontal="left" vertical="center"/>
    </xf>
    <xf numFmtId="0" fontId="11" fillId="21" borderId="2" xfId="0" applyFont="1" applyFill="1" applyBorder="1" applyAlignment="1">
      <alignment horizontal="left" vertical="center"/>
    </xf>
    <xf numFmtId="14" fontId="11" fillId="21" borderId="3" xfId="0" applyNumberFormat="1" applyFont="1" applyFill="1" applyBorder="1" applyAlignment="1">
      <alignment horizontal="left" vertical="center"/>
    </xf>
    <xf numFmtId="14" fontId="11" fillId="21" borderId="4" xfId="0" applyNumberFormat="1" applyFont="1" applyFill="1" applyBorder="1" applyAlignment="1">
      <alignment horizontal="left" vertical="center"/>
    </xf>
    <xf numFmtId="0" fontId="11" fillId="21" borderId="4" xfId="0" applyFont="1" applyFill="1" applyBorder="1" applyAlignment="1">
      <alignment horizontal="left" vertical="center"/>
    </xf>
    <xf numFmtId="168" fontId="19" fillId="3" borderId="1" xfId="0" applyNumberFormat="1" applyFont="1" applyFill="1" applyBorder="1"/>
    <xf numFmtId="0" fontId="91" fillId="3" borderId="1" xfId="0" applyFont="1" applyFill="1" applyBorder="1"/>
    <xf numFmtId="0" fontId="6" fillId="3" borderId="1" xfId="0" applyFont="1" applyFill="1" applyBorder="1"/>
    <xf numFmtId="0" fontId="34" fillId="3" borderId="1" xfId="0" applyFont="1" applyFill="1" applyBorder="1" applyAlignment="1">
      <alignment horizontal="center"/>
    </xf>
    <xf numFmtId="0" fontId="6" fillId="3" borderId="1" xfId="0" applyFont="1" applyFill="1" applyBorder="1" applyAlignment="1">
      <alignment horizontal="center"/>
    </xf>
    <xf numFmtId="0" fontId="0" fillId="3" borderId="1" xfId="0" applyFill="1" applyBorder="1" applyAlignment="1">
      <alignment horizontal="center"/>
    </xf>
    <xf numFmtId="0" fontId="6" fillId="3" borderId="1" xfId="0" applyFont="1" applyFill="1" applyBorder="1" applyAlignment="1">
      <alignment horizontal="right"/>
    </xf>
    <xf numFmtId="0" fontId="12" fillId="2" borderId="1" xfId="0" applyFont="1" applyFill="1" applyBorder="1"/>
    <xf numFmtId="0" fontId="92" fillId="2" borderId="1" xfId="0" applyFont="1" applyFill="1" applyBorder="1"/>
    <xf numFmtId="0" fontId="93" fillId="2" borderId="1" xfId="0" applyFont="1" applyFill="1" applyBorder="1" applyAlignment="1">
      <alignment horizontal="center" vertical="center"/>
    </xf>
    <xf numFmtId="0" fontId="94" fillId="2" borderId="1" xfId="0" applyFont="1" applyFill="1" applyBorder="1" applyAlignment="1">
      <alignment horizontal="center" vertical="center"/>
    </xf>
    <xf numFmtId="0" fontId="92" fillId="2" borderId="1" xfId="0" applyFont="1" applyFill="1" applyBorder="1" applyAlignment="1">
      <alignment horizontal="center" vertical="center"/>
    </xf>
    <xf numFmtId="167" fontId="92" fillId="2" borderId="1" xfId="0" applyNumberFormat="1" applyFont="1" applyFill="1" applyBorder="1" applyAlignment="1">
      <alignment horizontal="center" vertical="center"/>
    </xf>
    <xf numFmtId="165" fontId="92" fillId="2" borderId="1" xfId="0" applyNumberFormat="1" applyFont="1" applyFill="1" applyBorder="1"/>
    <xf numFmtId="0" fontId="92" fillId="2" borderId="5" xfId="0" applyFont="1" applyFill="1" applyBorder="1" applyAlignment="1">
      <alignment horizontal="center" vertical="center"/>
    </xf>
    <xf numFmtId="167" fontId="92" fillId="2" borderId="5" xfId="0" applyNumberFormat="1" applyFont="1" applyFill="1" applyBorder="1"/>
    <xf numFmtId="0" fontId="92" fillId="2" borderId="1" xfId="0" applyFont="1" applyFill="1" applyBorder="1" applyAlignment="1">
      <alignment horizontal="right" vertical="center"/>
    </xf>
    <xf numFmtId="167" fontId="94" fillId="2" borderId="1" xfId="0" applyNumberFormat="1" applyFont="1" applyFill="1" applyBorder="1" applyAlignment="1">
      <alignment horizontal="center" vertical="center"/>
    </xf>
    <xf numFmtId="0" fontId="94" fillId="2" borderId="1" xfId="0" applyFont="1" applyFill="1" applyBorder="1" applyAlignment="1">
      <alignment horizontal="left" vertical="center"/>
    </xf>
    <xf numFmtId="0" fontId="94" fillId="2" borderId="1" xfId="0" applyFont="1" applyFill="1" applyBorder="1" applyAlignment="1">
      <alignment horizontal="left"/>
    </xf>
    <xf numFmtId="0" fontId="95" fillId="10" borderId="1" xfId="0" applyFont="1" applyFill="1" applyBorder="1" applyAlignment="1">
      <alignment horizontal="right"/>
    </xf>
    <xf numFmtId="0" fontId="95" fillId="10" borderId="1" xfId="0" applyFont="1" applyFill="1" applyBorder="1"/>
    <xf numFmtId="167" fontId="95" fillId="10" borderId="1" xfId="0" applyNumberFormat="1" applyFont="1" applyFill="1" applyBorder="1" applyAlignment="1">
      <alignment horizontal="center" vertical="center"/>
    </xf>
    <xf numFmtId="167" fontId="95" fillId="10" borderId="5" xfId="0" applyNumberFormat="1" applyFont="1" applyFill="1" applyBorder="1"/>
    <xf numFmtId="0" fontId="96" fillId="10" borderId="1" xfId="0" applyFont="1" applyFill="1" applyBorder="1"/>
    <xf numFmtId="167" fontId="96" fillId="10" borderId="1" xfId="0" applyNumberFormat="1" applyFont="1" applyFill="1" applyBorder="1"/>
    <xf numFmtId="167" fontId="96" fillId="10" borderId="1" xfId="0" applyNumberFormat="1" applyFont="1" applyFill="1" applyBorder="1" applyAlignment="1">
      <alignment horizontal="center" vertical="center"/>
    </xf>
    <xf numFmtId="0" fontId="96" fillId="10" borderId="1" xfId="0" applyFont="1" applyFill="1" applyBorder="1" applyAlignment="1">
      <alignment horizontal="center"/>
    </xf>
    <xf numFmtId="0" fontId="24" fillId="5" borderId="1" xfId="1" applyNumberFormat="1" applyFont="1" applyFill="1" applyBorder="1" applyAlignment="1">
      <alignment horizontal="left"/>
    </xf>
    <xf numFmtId="0" fontId="37" fillId="3" borderId="1" xfId="0" applyFont="1" applyFill="1" applyBorder="1" applyAlignment="1">
      <alignment horizontal="center" vertical="center"/>
    </xf>
    <xf numFmtId="0" fontId="36" fillId="2" borderId="1" xfId="0" applyFont="1" applyFill="1" applyBorder="1" applyAlignment="1">
      <alignment horizontal="center" vertical="center"/>
    </xf>
    <xf numFmtId="0" fontId="36" fillId="3" borderId="1" xfId="0" applyFont="1" applyFill="1" applyBorder="1" applyAlignment="1">
      <alignment horizontal="center" vertical="center"/>
    </xf>
    <xf numFmtId="0" fontId="97" fillId="10" borderId="1" xfId="0" applyFont="1" applyFill="1" applyBorder="1" applyAlignment="1">
      <alignment horizontal="center" vertical="center"/>
    </xf>
    <xf numFmtId="0" fontId="96" fillId="10" borderId="1" xfId="0" applyFont="1" applyFill="1" applyBorder="1" applyAlignment="1">
      <alignment horizontal="center" vertical="center"/>
    </xf>
    <xf numFmtId="0" fontId="5" fillId="10" borderId="0" xfId="0" applyFont="1" applyFill="1" applyAlignment="1">
      <alignment horizontal="center" vertical="center"/>
    </xf>
    <xf numFmtId="0" fontId="36" fillId="2" borderId="3" xfId="0" applyFont="1" applyFill="1" applyBorder="1" applyAlignment="1">
      <alignment horizontal="center" vertical="center"/>
    </xf>
    <xf numFmtId="0" fontId="37" fillId="0" borderId="3" xfId="0" applyFont="1" applyBorder="1" applyAlignment="1">
      <alignment horizontal="center" vertical="center"/>
    </xf>
    <xf numFmtId="0" fontId="37" fillId="13" borderId="1" xfId="0" applyFont="1" applyFill="1" applyBorder="1" applyAlignment="1">
      <alignment horizontal="center" vertical="center"/>
    </xf>
    <xf numFmtId="0" fontId="98" fillId="0" borderId="1" xfId="0" applyFont="1" applyBorder="1" applyAlignment="1">
      <alignment horizontal="left" vertical="center" wrapText="1"/>
    </xf>
    <xf numFmtId="2" fontId="38" fillId="0" borderId="1" xfId="0" applyNumberFormat="1" applyFont="1" applyBorder="1" applyAlignment="1">
      <alignment horizontal="left" vertical="center" wrapText="1"/>
    </xf>
    <xf numFmtId="14" fontId="10" fillId="4" borderId="26" xfId="0" applyNumberFormat="1" applyFont="1" applyFill="1" applyBorder="1" applyAlignment="1">
      <alignment horizontal="left" vertical="center"/>
    </xf>
    <xf numFmtId="0" fontId="10" fillId="4" borderId="26" xfId="0" applyFont="1" applyFill="1" applyBorder="1" applyAlignment="1">
      <alignment horizontal="left" vertical="center"/>
    </xf>
    <xf numFmtId="0" fontId="100" fillId="0" borderId="0" xfId="0" applyFont="1"/>
    <xf numFmtId="0" fontId="99" fillId="22" borderId="26" xfId="0" applyFont="1" applyFill="1" applyBorder="1" applyAlignment="1">
      <alignment horizontal="center" vertical="center"/>
    </xf>
    <xf numFmtId="0" fontId="101" fillId="12" borderId="27" xfId="0" applyFont="1" applyFill="1" applyBorder="1" applyAlignment="1">
      <alignment horizontal="center"/>
    </xf>
    <xf numFmtId="0" fontId="101" fillId="12" borderId="28" xfId="0" applyFont="1" applyFill="1" applyBorder="1" applyAlignment="1">
      <alignment horizontal="center"/>
    </xf>
    <xf numFmtId="0" fontId="101" fillId="12" borderId="29" xfId="0" applyFont="1" applyFill="1" applyBorder="1" applyAlignment="1">
      <alignment horizontal="center"/>
    </xf>
    <xf numFmtId="0" fontId="40" fillId="0" borderId="20" xfId="0" applyFont="1" applyBorder="1"/>
    <xf numFmtId="1" fontId="102" fillId="3" borderId="1" xfId="0" applyNumberFormat="1" applyFont="1" applyFill="1" applyBorder="1" applyAlignment="1">
      <alignment horizontal="center" vertical="center"/>
    </xf>
    <xf numFmtId="1" fontId="102" fillId="0" borderId="1" xfId="0" applyNumberFormat="1" applyFont="1" applyBorder="1" applyAlignment="1">
      <alignment horizontal="center" vertical="center"/>
    </xf>
    <xf numFmtId="0" fontId="97" fillId="2" borderId="1" xfId="0" applyFont="1" applyFill="1" applyBorder="1" applyAlignment="1">
      <alignment horizontal="center" vertical="center"/>
    </xf>
    <xf numFmtId="0" fontId="102" fillId="0" borderId="0" xfId="0" applyFont="1" applyAlignment="1">
      <alignment horizontal="center" vertical="center"/>
    </xf>
    <xf numFmtId="0" fontId="97" fillId="2" borderId="17" xfId="0" applyFont="1" applyFill="1" applyBorder="1" applyAlignment="1">
      <alignment horizontal="center" vertical="center"/>
    </xf>
    <xf numFmtId="0" fontId="102" fillId="0" borderId="1" xfId="0" applyFont="1" applyBorder="1" applyAlignment="1">
      <alignment horizontal="center" vertical="center"/>
    </xf>
    <xf numFmtId="0" fontId="102" fillId="0" borderId="5" xfId="0" applyFont="1" applyBorder="1" applyAlignment="1">
      <alignment horizontal="center" vertical="center"/>
    </xf>
    <xf numFmtId="14" fontId="102" fillId="0" borderId="1" xfId="0" applyNumberFormat="1" applyFont="1" applyBorder="1" applyAlignment="1">
      <alignment horizontal="center" vertical="center"/>
    </xf>
    <xf numFmtId="49" fontId="102" fillId="0" borderId="1" xfId="0" applyNumberFormat="1" applyFont="1" applyBorder="1" applyAlignment="1">
      <alignment horizontal="center" vertical="center"/>
    </xf>
    <xf numFmtId="0" fontId="103" fillId="5" borderId="1" xfId="0" applyFont="1" applyFill="1" applyBorder="1" applyAlignment="1">
      <alignment horizontal="center" vertical="center" wrapText="1"/>
    </xf>
    <xf numFmtId="0" fontId="104" fillId="0" borderId="0" xfId="0" applyFont="1" applyAlignment="1">
      <alignment horizontal="center" vertical="center" wrapText="1"/>
    </xf>
    <xf numFmtId="0" fontId="104" fillId="0" borderId="1" xfId="0" applyFont="1" applyBorder="1" applyAlignment="1">
      <alignment horizontal="center" vertical="center" wrapText="1"/>
    </xf>
    <xf numFmtId="0" fontId="103" fillId="23" borderId="1" xfId="0" applyFont="1" applyFill="1" applyBorder="1" applyAlignment="1">
      <alignment horizontal="center" vertical="center" wrapText="1"/>
    </xf>
    <xf numFmtId="0" fontId="105" fillId="0" borderId="0" xfId="0" applyFont="1" applyAlignment="1">
      <alignment horizontal="center" vertical="center"/>
    </xf>
    <xf numFmtId="0" fontId="105" fillId="3" borderId="0" xfId="0" applyFont="1" applyFill="1" applyAlignment="1">
      <alignment horizontal="center" vertical="center"/>
    </xf>
    <xf numFmtId="0" fontId="105" fillId="0" borderId="1" xfId="0" applyFont="1" applyBorder="1" applyAlignment="1">
      <alignment horizontal="center" vertical="center"/>
    </xf>
    <xf numFmtId="1" fontId="105" fillId="0" borderId="1" xfId="0" applyNumberFormat="1" applyFont="1" applyBorder="1" applyAlignment="1">
      <alignment horizontal="center" vertical="center"/>
    </xf>
    <xf numFmtId="0" fontId="96" fillId="22" borderId="1" xfId="0" applyFont="1" applyFill="1" applyBorder="1" applyAlignment="1">
      <alignment horizontal="center" vertical="center"/>
    </xf>
    <xf numFmtId="2" fontId="105" fillId="0" borderId="1" xfId="0" applyNumberFormat="1" applyFont="1" applyBorder="1" applyAlignment="1">
      <alignment horizontal="center" vertical="center"/>
    </xf>
    <xf numFmtId="2" fontId="105" fillId="3" borderId="0" xfId="0" applyNumberFormat="1" applyFont="1" applyFill="1" applyAlignment="1">
      <alignment horizontal="center" vertical="center"/>
    </xf>
    <xf numFmtId="0" fontId="96" fillId="8" borderId="1" xfId="0" applyFont="1" applyFill="1" applyBorder="1" applyAlignment="1">
      <alignment horizontal="center" vertical="center" wrapText="1"/>
    </xf>
    <xf numFmtId="0" fontId="105" fillId="8" borderId="1" xfId="0" applyFont="1" applyFill="1" applyBorder="1" applyAlignment="1">
      <alignment horizontal="center" vertical="center" wrapText="1"/>
    </xf>
    <xf numFmtId="0" fontId="105" fillId="8" borderId="1" xfId="0" applyFont="1" applyFill="1" applyBorder="1" applyAlignment="1">
      <alignment horizontal="center" vertical="center"/>
    </xf>
    <xf numFmtId="0" fontId="96" fillId="0" borderId="0" xfId="0" applyFont="1" applyAlignment="1">
      <alignment horizontal="center" vertical="center"/>
    </xf>
    <xf numFmtId="1" fontId="96" fillId="10" borderId="1" xfId="0" applyNumberFormat="1" applyFont="1" applyFill="1" applyBorder="1" applyAlignment="1">
      <alignment horizontal="center" vertical="center"/>
    </xf>
    <xf numFmtId="1" fontId="105" fillId="0" borderId="5" xfId="0" applyNumberFormat="1" applyFont="1" applyBorder="1" applyAlignment="1">
      <alignment horizontal="center" vertical="center"/>
    </xf>
    <xf numFmtId="0" fontId="96" fillId="0" borderId="30" xfId="0" applyFont="1" applyBorder="1" applyAlignment="1">
      <alignment horizontal="center" vertical="center"/>
    </xf>
    <xf numFmtId="0" fontId="96" fillId="25" borderId="1" xfId="0" applyFont="1" applyFill="1" applyBorder="1" applyAlignment="1">
      <alignment horizontal="center" vertical="center"/>
    </xf>
    <xf numFmtId="0" fontId="76" fillId="0" borderId="0" xfId="0" applyFont="1" applyAlignment="1">
      <alignment horizontal="center" vertical="center" wrapText="1"/>
    </xf>
    <xf numFmtId="49" fontId="75" fillId="0" borderId="0" xfId="0" applyNumberFormat="1" applyFont="1" applyAlignment="1">
      <alignment horizontal="center" vertical="center" wrapText="1"/>
    </xf>
    <xf numFmtId="1" fontId="75" fillId="0" borderId="0" xfId="0" applyNumberFormat="1" applyFont="1" applyAlignment="1">
      <alignment horizontal="center" vertical="center" wrapText="1"/>
    </xf>
    <xf numFmtId="184" fontId="75" fillId="0" borderId="1" xfId="0" applyNumberFormat="1" applyFont="1" applyBorder="1" applyAlignment="1">
      <alignment horizontal="center" vertical="center" wrapText="1"/>
    </xf>
    <xf numFmtId="0" fontId="83" fillId="16" borderId="8" xfId="2" applyFont="1" applyFill="1" applyBorder="1" applyAlignment="1">
      <alignment horizontal="left" vertical="top" wrapText="1"/>
    </xf>
    <xf numFmtId="0" fontId="82" fillId="16" borderId="31" xfId="0" applyFont="1" applyFill="1" applyBorder="1" applyAlignment="1">
      <alignment horizontal="left" vertical="top" wrapText="1"/>
    </xf>
    <xf numFmtId="0" fontId="83" fillId="16" borderId="0" xfId="2" applyFont="1" applyFill="1" applyBorder="1" applyAlignment="1">
      <alignment horizontal="left" vertical="top" wrapText="1"/>
    </xf>
    <xf numFmtId="0" fontId="82" fillId="16" borderId="0" xfId="0" applyFont="1" applyFill="1" applyAlignment="1">
      <alignment horizontal="left" vertical="top" wrapText="1"/>
    </xf>
    <xf numFmtId="0" fontId="75" fillId="10" borderId="1" xfId="0" applyFont="1" applyFill="1" applyBorder="1" applyAlignment="1">
      <alignment horizontal="center" vertical="center" wrapText="1"/>
    </xf>
    <xf numFmtId="0" fontId="76" fillId="10" borderId="1" xfId="0" applyFont="1" applyFill="1" applyBorder="1" applyAlignment="1">
      <alignment horizontal="center" vertical="center" wrapText="1"/>
    </xf>
    <xf numFmtId="184" fontId="75" fillId="8" borderId="1" xfId="0" applyNumberFormat="1" applyFont="1" applyFill="1" applyBorder="1" applyAlignment="1">
      <alignment horizontal="center" vertical="center" wrapText="1"/>
    </xf>
    <xf numFmtId="0" fontId="75" fillId="8" borderId="0" xfId="0" applyFont="1" applyFill="1" applyAlignment="1">
      <alignment horizontal="center" vertical="center" wrapText="1"/>
    </xf>
    <xf numFmtId="0" fontId="108" fillId="0" borderId="30" xfId="0" applyFont="1" applyBorder="1" applyAlignment="1">
      <alignment vertical="center" wrapText="1"/>
    </xf>
    <xf numFmtId="0" fontId="99" fillId="26" borderId="1" xfId="0" applyFont="1" applyFill="1" applyBorder="1" applyAlignment="1">
      <alignment horizontal="center" vertical="center"/>
    </xf>
    <xf numFmtId="0" fontId="4" fillId="0" borderId="0" xfId="0" applyFont="1"/>
    <xf numFmtId="14" fontId="100" fillId="3" borderId="1" xfId="0" applyNumberFormat="1" applyFont="1" applyFill="1" applyBorder="1" applyAlignment="1">
      <alignment horizontal="left" vertical="center"/>
    </xf>
    <xf numFmtId="0" fontId="100" fillId="3" borderId="1" xfId="0" applyFont="1" applyFill="1" applyBorder="1" applyAlignment="1">
      <alignment horizontal="left" vertical="center"/>
    </xf>
    <xf numFmtId="0" fontId="34" fillId="26" borderId="9" xfId="0" applyFont="1" applyFill="1" applyBorder="1" applyAlignment="1">
      <alignment horizontal="center" vertical="center"/>
    </xf>
    <xf numFmtId="0" fontId="4" fillId="0" borderId="9" xfId="0" applyFont="1" applyBorder="1" applyAlignment="1">
      <alignment horizontal="left"/>
    </xf>
    <xf numFmtId="169" fontId="4" fillId="0" borderId="9" xfId="0" applyNumberFormat="1" applyFont="1" applyBorder="1" applyAlignment="1">
      <alignment horizontal="left"/>
    </xf>
    <xf numFmtId="0" fontId="4" fillId="0" borderId="12" xfId="0" applyFont="1" applyBorder="1" applyAlignment="1">
      <alignment horizontal="left"/>
    </xf>
    <xf numFmtId="0" fontId="4" fillId="0" borderId="0" xfId="0" applyFont="1" applyAlignment="1">
      <alignment horizontal="left"/>
    </xf>
    <xf numFmtId="0" fontId="9" fillId="27" borderId="1" xfId="0" applyFont="1" applyFill="1" applyBorder="1" applyAlignment="1">
      <alignment horizontal="center" vertical="center"/>
    </xf>
    <xf numFmtId="0" fontId="0" fillId="0" borderId="0" xfId="0" applyAlignment="1">
      <alignment vertical="center"/>
    </xf>
    <xf numFmtId="0" fontId="8" fillId="27" borderId="9" xfId="0" applyFont="1" applyFill="1" applyBorder="1" applyAlignment="1">
      <alignment vertical="center"/>
    </xf>
    <xf numFmtId="0" fontId="0" fillId="0" borderId="9" xfId="0" applyBorder="1" applyAlignment="1">
      <alignment vertical="center"/>
    </xf>
    <xf numFmtId="0" fontId="47" fillId="6" borderId="9" xfId="0" applyFont="1" applyFill="1" applyBorder="1" applyAlignment="1">
      <alignment horizontal="center" vertical="center"/>
    </xf>
    <xf numFmtId="0" fontId="48" fillId="0" borderId="9" xfId="0" applyFont="1" applyBorder="1" applyAlignment="1">
      <alignment vertical="center"/>
    </xf>
    <xf numFmtId="0" fontId="48" fillId="0" borderId="12" xfId="0" applyFont="1" applyBorder="1" applyAlignment="1">
      <alignment vertical="center"/>
    </xf>
    <xf numFmtId="0" fontId="48" fillId="0" borderId="0" xfId="0" applyFont="1" applyAlignment="1">
      <alignment vertical="center"/>
    </xf>
    <xf numFmtId="0" fontId="22" fillId="0" borderId="0" xfId="0" applyFont="1"/>
    <xf numFmtId="14" fontId="22" fillId="3" borderId="1" xfId="0" applyNumberFormat="1" applyFont="1" applyFill="1" applyBorder="1" applyAlignment="1">
      <alignment horizontal="left" vertical="center"/>
    </xf>
    <xf numFmtId="0" fontId="22" fillId="3" borderId="1" xfId="0" applyFont="1" applyFill="1" applyBorder="1" applyAlignment="1">
      <alignment horizontal="left" vertical="center"/>
    </xf>
    <xf numFmtId="0" fontId="22" fillId="3" borderId="0" xfId="0" applyFont="1" applyFill="1" applyAlignment="1">
      <alignment horizontal="left" vertical="center"/>
    </xf>
    <xf numFmtId="0" fontId="22" fillId="0" borderId="9" xfId="0" applyFont="1" applyBorder="1"/>
    <xf numFmtId="0" fontId="22" fillId="3" borderId="21" xfId="0" applyFont="1" applyFill="1" applyBorder="1" applyAlignment="1">
      <alignment horizontal="left" vertical="center"/>
    </xf>
    <xf numFmtId="0" fontId="23" fillId="6" borderId="33" xfId="0" applyFont="1" applyFill="1" applyBorder="1" applyAlignment="1">
      <alignment horizontal="center"/>
    </xf>
    <xf numFmtId="0" fontId="23" fillId="6" borderId="9" xfId="0" applyFont="1" applyFill="1" applyBorder="1" applyAlignment="1">
      <alignment horizontal="center"/>
    </xf>
    <xf numFmtId="0" fontId="23" fillId="6" borderId="11" xfId="0" applyFont="1" applyFill="1" applyBorder="1" applyAlignment="1">
      <alignment horizontal="center"/>
    </xf>
    <xf numFmtId="0" fontId="23" fillId="6" borderId="1" xfId="0" applyFont="1" applyFill="1" applyBorder="1" applyAlignment="1">
      <alignment horizontal="center"/>
    </xf>
    <xf numFmtId="0" fontId="22" fillId="0" borderId="2" xfId="0" applyFont="1" applyBorder="1"/>
    <xf numFmtId="0" fontId="22" fillId="0" borderId="32" xfId="0" applyFont="1" applyBorder="1"/>
    <xf numFmtId="0" fontId="22" fillId="0" borderId="11" xfId="0" applyFont="1" applyBorder="1"/>
    <xf numFmtId="0" fontId="22" fillId="0" borderId="30" xfId="0" applyFont="1" applyBorder="1"/>
    <xf numFmtId="0" fontId="22" fillId="0" borderId="18" xfId="0" applyFont="1" applyBorder="1"/>
    <xf numFmtId="0" fontId="22" fillId="0" borderId="33" xfId="0" applyFont="1" applyBorder="1"/>
    <xf numFmtId="0" fontId="22" fillId="0" borderId="12" xfId="0" applyFont="1" applyBorder="1"/>
    <xf numFmtId="0" fontId="22" fillId="0" borderId="13" xfId="0" applyFont="1" applyBorder="1"/>
    <xf numFmtId="0" fontId="22" fillId="0" borderId="1" xfId="0" applyFont="1" applyBorder="1"/>
    <xf numFmtId="0" fontId="22" fillId="0" borderId="5" xfId="0" applyFont="1" applyBorder="1"/>
    <xf numFmtId="14" fontId="22" fillId="3" borderId="8" xfId="0" applyNumberFormat="1" applyFont="1" applyFill="1" applyBorder="1" applyAlignment="1">
      <alignment horizontal="left" vertical="center"/>
    </xf>
    <xf numFmtId="0" fontId="22" fillId="3" borderId="8" xfId="0" applyFont="1" applyFill="1" applyBorder="1" applyAlignment="1">
      <alignment horizontal="left" vertical="center"/>
    </xf>
    <xf numFmtId="14" fontId="22" fillId="3" borderId="9" xfId="0" applyNumberFormat="1" applyFont="1" applyFill="1" applyBorder="1" applyAlignment="1">
      <alignment horizontal="left" vertical="center"/>
    </xf>
    <xf numFmtId="0" fontId="22" fillId="3" borderId="9" xfId="0" applyFont="1" applyFill="1" applyBorder="1" applyAlignment="1">
      <alignment horizontal="left" vertical="center"/>
    </xf>
    <xf numFmtId="14" fontId="22" fillId="3" borderId="0" xfId="0" applyNumberFormat="1" applyFont="1" applyFill="1" applyAlignment="1">
      <alignment horizontal="left" vertical="center"/>
    </xf>
    <xf numFmtId="0" fontId="109" fillId="0" borderId="0" xfId="0" applyFont="1" applyAlignment="1">
      <alignment horizontal="center"/>
    </xf>
    <xf numFmtId="0" fontId="23" fillId="2" borderId="1" xfId="0" applyFont="1" applyFill="1" applyBorder="1" applyAlignment="1">
      <alignment horizontal="center" vertical="center" wrapText="1"/>
    </xf>
    <xf numFmtId="0" fontId="23" fillId="3" borderId="0" xfId="0" applyFont="1" applyFill="1" applyAlignment="1">
      <alignment horizontal="left" vertical="center" wrapText="1"/>
    </xf>
    <xf numFmtId="0" fontId="22" fillId="0" borderId="0" xfId="0" applyFont="1" applyAlignment="1">
      <alignment vertical="center" wrapText="1"/>
    </xf>
    <xf numFmtId="0" fontId="22" fillId="0" borderId="1" xfId="0" applyFont="1" applyBorder="1" applyAlignment="1">
      <alignment horizontal="left"/>
    </xf>
    <xf numFmtId="167" fontId="22" fillId="0" borderId="1" xfId="0" applyNumberFormat="1" applyFont="1" applyBorder="1" applyAlignment="1">
      <alignment horizontal="left"/>
    </xf>
    <xf numFmtId="167" fontId="22" fillId="0" borderId="0" xfId="0" applyNumberFormat="1" applyFont="1" applyAlignment="1">
      <alignment horizontal="left"/>
    </xf>
    <xf numFmtId="167" fontId="22" fillId="3" borderId="1" xfId="0" applyNumberFormat="1" applyFont="1" applyFill="1" applyBorder="1" applyAlignment="1">
      <alignment horizontal="left" vertical="center"/>
    </xf>
    <xf numFmtId="0" fontId="23" fillId="5" borderId="1" xfId="0" applyFont="1" applyFill="1" applyBorder="1" applyAlignment="1">
      <alignment horizontal="left"/>
    </xf>
    <xf numFmtId="167" fontId="22" fillId="5" borderId="1" xfId="0" applyNumberFormat="1" applyFont="1" applyFill="1" applyBorder="1" applyAlignment="1">
      <alignment horizontal="left"/>
    </xf>
    <xf numFmtId="167" fontId="22" fillId="5" borderId="0" xfId="0" applyNumberFormat="1" applyFont="1" applyFill="1" applyAlignment="1">
      <alignment horizontal="left"/>
    </xf>
    <xf numFmtId="0" fontId="110" fillId="2" borderId="9" xfId="0" applyFont="1" applyFill="1" applyBorder="1"/>
    <xf numFmtId="0" fontId="111" fillId="0" borderId="9" xfId="0" applyFont="1" applyBorder="1"/>
    <xf numFmtId="0" fontId="111" fillId="0" borderId="0" xfId="0" applyFont="1"/>
    <xf numFmtId="0" fontId="112" fillId="2" borderId="1" xfId="0" applyFont="1" applyFill="1" applyBorder="1" applyAlignment="1">
      <alignment horizontal="center" vertical="center"/>
    </xf>
    <xf numFmtId="0" fontId="23" fillId="3" borderId="0" xfId="0" applyFont="1" applyFill="1" applyAlignment="1">
      <alignment horizontal="center" vertical="center"/>
    </xf>
    <xf numFmtId="0" fontId="22" fillId="0" borderId="8" xfId="0" applyFont="1" applyBorder="1"/>
    <xf numFmtId="0" fontId="22" fillId="0" borderId="17" xfId="0" applyFont="1" applyBorder="1"/>
    <xf numFmtId="0" fontId="22" fillId="0" borderId="19" xfId="0" applyFont="1" applyBorder="1"/>
    <xf numFmtId="0" fontId="113" fillId="9" borderId="1" xfId="0" applyFont="1" applyFill="1" applyBorder="1" applyAlignment="1">
      <alignment horizontal="center" vertical="center"/>
    </xf>
    <xf numFmtId="14" fontId="22" fillId="13" borderId="1" xfId="0" applyNumberFormat="1" applyFont="1" applyFill="1" applyBorder="1" applyAlignment="1">
      <alignment horizontal="center" vertical="center"/>
    </xf>
    <xf numFmtId="0" fontId="22" fillId="13" borderId="1" xfId="0" applyFont="1" applyFill="1" applyBorder="1" applyAlignment="1">
      <alignment horizontal="center" vertical="center"/>
    </xf>
    <xf numFmtId="0" fontId="22" fillId="0" borderId="0" xfId="0" applyFont="1" applyAlignment="1">
      <alignment horizontal="center" vertical="center"/>
    </xf>
    <xf numFmtId="167" fontId="22" fillId="13" borderId="1" xfId="0" applyNumberFormat="1" applyFont="1" applyFill="1" applyBorder="1" applyAlignment="1">
      <alignment horizontal="center" vertical="center"/>
    </xf>
    <xf numFmtId="14" fontId="22" fillId="3" borderId="0" xfId="0" applyNumberFormat="1" applyFont="1" applyFill="1" applyAlignment="1">
      <alignment horizontal="center" vertical="center"/>
    </xf>
    <xf numFmtId="0" fontId="22" fillId="3" borderId="0" xfId="0" applyFont="1" applyFill="1" applyAlignment="1">
      <alignment horizontal="center" vertical="center"/>
    </xf>
    <xf numFmtId="167" fontId="22" fillId="3" borderId="0" xfId="0" applyNumberFormat="1" applyFont="1" applyFill="1" applyAlignment="1">
      <alignment horizontal="center" vertical="center"/>
    </xf>
    <xf numFmtId="0" fontId="23" fillId="3" borderId="1" xfId="0" applyFont="1" applyFill="1" applyBorder="1" applyAlignment="1">
      <alignment horizontal="center" vertical="center"/>
    </xf>
    <xf numFmtId="0" fontId="22" fillId="3" borderId="1" xfId="0" applyFont="1" applyFill="1" applyBorder="1" applyAlignment="1">
      <alignment horizontal="center" vertical="center"/>
    </xf>
    <xf numFmtId="14" fontId="22" fillId="3" borderId="1" xfId="0" applyNumberFormat="1" applyFont="1" applyFill="1" applyBorder="1" applyAlignment="1">
      <alignment horizontal="center" vertical="center"/>
    </xf>
    <xf numFmtId="0" fontId="22" fillId="0" borderId="1" xfId="0" applyFont="1" applyBorder="1" applyAlignment="1">
      <alignment horizontal="center" vertical="center"/>
    </xf>
    <xf numFmtId="0" fontId="114" fillId="9" borderId="1" xfId="0" applyFont="1" applyFill="1" applyBorder="1" applyAlignment="1">
      <alignment horizontal="center" vertical="center"/>
    </xf>
    <xf numFmtId="0" fontId="115" fillId="0" borderId="0" xfId="0" applyFont="1" applyAlignment="1">
      <alignment horizontal="center" vertical="center"/>
    </xf>
    <xf numFmtId="0" fontId="115" fillId="13" borderId="1" xfId="0" applyFont="1" applyFill="1" applyBorder="1" applyAlignment="1">
      <alignment horizontal="center" vertical="center"/>
    </xf>
    <xf numFmtId="167" fontId="115" fillId="13" borderId="1" xfId="0" applyNumberFormat="1" applyFont="1" applyFill="1" applyBorder="1" applyAlignment="1">
      <alignment horizontal="center" vertical="center"/>
    </xf>
    <xf numFmtId="14" fontId="115" fillId="13" borderId="1" xfId="0" applyNumberFormat="1" applyFont="1" applyFill="1" applyBorder="1" applyAlignment="1">
      <alignment horizontal="center" vertical="center"/>
    </xf>
    <xf numFmtId="0" fontId="115" fillId="3" borderId="1" xfId="0" applyFont="1" applyFill="1" applyBorder="1" applyAlignment="1">
      <alignment horizontal="center" vertical="center"/>
    </xf>
    <xf numFmtId="0" fontId="24" fillId="3" borderId="1" xfId="0" applyFont="1" applyFill="1" applyBorder="1" applyAlignment="1">
      <alignment horizontal="center" vertical="center"/>
    </xf>
    <xf numFmtId="0" fontId="24" fillId="0" borderId="1" xfId="0" applyFont="1" applyBorder="1" applyAlignment="1">
      <alignment horizontal="center" vertical="center"/>
    </xf>
    <xf numFmtId="14" fontId="115" fillId="3" borderId="1" xfId="0" applyNumberFormat="1" applyFont="1" applyFill="1" applyBorder="1" applyAlignment="1">
      <alignment horizontal="center" vertical="center"/>
    </xf>
    <xf numFmtId="0" fontId="115" fillId="3" borderId="0" xfId="0" applyFont="1" applyFill="1" applyAlignment="1">
      <alignment horizontal="center" vertical="center"/>
    </xf>
    <xf numFmtId="14" fontId="115" fillId="3" borderId="0" xfId="0" applyNumberFormat="1" applyFont="1" applyFill="1" applyAlignment="1">
      <alignment horizontal="center" vertical="center"/>
    </xf>
    <xf numFmtId="0" fontId="115" fillId="13" borderId="8" xfId="0" applyFont="1" applyFill="1" applyBorder="1" applyAlignment="1">
      <alignment horizontal="center" vertical="center"/>
    </xf>
    <xf numFmtId="14" fontId="115" fillId="13" borderId="8" xfId="0" applyNumberFormat="1" applyFont="1" applyFill="1" applyBorder="1" applyAlignment="1">
      <alignment horizontal="center" vertical="center"/>
    </xf>
    <xf numFmtId="0" fontId="115" fillId="13" borderId="9" xfId="0" applyFont="1" applyFill="1" applyBorder="1" applyAlignment="1">
      <alignment horizontal="center" vertical="center"/>
    </xf>
    <xf numFmtId="14" fontId="115" fillId="13" borderId="9" xfId="0" applyNumberFormat="1" applyFont="1" applyFill="1" applyBorder="1" applyAlignment="1">
      <alignment horizontal="center" vertical="center"/>
    </xf>
    <xf numFmtId="0" fontId="116" fillId="5" borderId="1" xfId="0" applyFont="1" applyFill="1" applyBorder="1" applyAlignment="1">
      <alignment horizontal="center" vertical="center"/>
    </xf>
    <xf numFmtId="14" fontId="116" fillId="5" borderId="1" xfId="0" applyNumberFormat="1" applyFont="1" applyFill="1" applyBorder="1" applyAlignment="1">
      <alignment horizontal="center" vertical="center"/>
    </xf>
    <xf numFmtId="0" fontId="117" fillId="28" borderId="1" xfId="0" applyFont="1" applyFill="1" applyBorder="1" applyAlignment="1">
      <alignment horizontal="center" vertical="center"/>
    </xf>
    <xf numFmtId="2" fontId="117" fillId="28" borderId="1" xfId="0" applyNumberFormat="1" applyFont="1" applyFill="1" applyBorder="1" applyAlignment="1">
      <alignment horizontal="center" vertical="center"/>
    </xf>
    <xf numFmtId="0" fontId="119" fillId="5" borderId="1" xfId="0" applyFont="1" applyFill="1" applyBorder="1" applyAlignment="1">
      <alignment horizontal="center" vertical="center"/>
    </xf>
    <xf numFmtId="0" fontId="119" fillId="3" borderId="1" xfId="0" applyFont="1" applyFill="1" applyBorder="1" applyAlignment="1">
      <alignment horizontal="center" vertical="center"/>
    </xf>
    <xf numFmtId="14" fontId="119" fillId="3" borderId="1" xfId="0" applyNumberFormat="1" applyFont="1" applyFill="1" applyBorder="1" applyAlignment="1">
      <alignment horizontal="center" vertical="center"/>
    </xf>
    <xf numFmtId="0" fontId="74" fillId="0" borderId="0" xfId="0" applyFont="1" applyAlignment="1">
      <alignment horizontal="center" vertical="center"/>
    </xf>
    <xf numFmtId="0" fontId="118" fillId="3" borderId="0" xfId="0" applyFont="1" applyFill="1" applyAlignment="1">
      <alignment horizontal="center" vertical="center"/>
    </xf>
    <xf numFmtId="2" fontId="118" fillId="13"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0" fontId="74" fillId="3" borderId="0" xfId="0" applyFont="1" applyFill="1" applyAlignment="1">
      <alignment horizontal="center" vertical="center"/>
    </xf>
    <xf numFmtId="0" fontId="118" fillId="13" borderId="1" xfId="0" applyFont="1" applyFill="1" applyBorder="1" applyAlignment="1">
      <alignment horizontal="center" vertical="center"/>
    </xf>
    <xf numFmtId="0" fontId="118" fillId="13" borderId="8" xfId="0" applyFont="1" applyFill="1" applyBorder="1" applyAlignment="1">
      <alignment horizontal="center" vertical="center"/>
    </xf>
    <xf numFmtId="0" fontId="118" fillId="13" borderId="9" xfId="0" applyFont="1" applyFill="1" applyBorder="1" applyAlignment="1">
      <alignment horizontal="center" vertical="center"/>
    </xf>
    <xf numFmtId="14" fontId="118" fillId="13" borderId="1" xfId="0" applyNumberFormat="1" applyFont="1" applyFill="1" applyBorder="1" applyAlignment="1">
      <alignment horizontal="center" vertical="center"/>
    </xf>
    <xf numFmtId="14" fontId="118" fillId="13" borderId="8" xfId="0" applyNumberFormat="1" applyFont="1" applyFill="1" applyBorder="1" applyAlignment="1">
      <alignment horizontal="center" vertical="center"/>
    </xf>
    <xf numFmtId="14" fontId="118" fillId="13" borderId="9" xfId="0" applyNumberFormat="1" applyFont="1" applyFill="1" applyBorder="1" applyAlignment="1">
      <alignment horizontal="center" vertical="center"/>
    </xf>
    <xf numFmtId="167" fontId="118" fillId="13" borderId="1" xfId="0" applyNumberFormat="1" applyFont="1" applyFill="1" applyBorder="1" applyAlignment="1">
      <alignment horizontal="center" vertical="center"/>
    </xf>
    <xf numFmtId="0" fontId="74" fillId="3" borderId="1" xfId="0" applyFont="1" applyFill="1" applyBorder="1" applyAlignment="1">
      <alignment horizontal="center" vertical="center"/>
    </xf>
    <xf numFmtId="14" fontId="74" fillId="3" borderId="1" xfId="0" applyNumberFormat="1" applyFont="1" applyFill="1" applyBorder="1" applyAlignment="1">
      <alignment horizontal="center" vertical="center"/>
    </xf>
    <xf numFmtId="0" fontId="120" fillId="3" borderId="0" xfId="0" applyFont="1" applyFill="1" applyAlignment="1">
      <alignment horizontal="center" vertical="center"/>
    </xf>
    <xf numFmtId="14" fontId="118" fillId="3" borderId="0" xfId="0" applyNumberFormat="1" applyFont="1" applyFill="1" applyAlignment="1">
      <alignment horizontal="center" vertical="center"/>
    </xf>
    <xf numFmtId="167" fontId="118" fillId="3" borderId="0" xfId="0" applyNumberFormat="1" applyFont="1" applyFill="1" applyAlignment="1">
      <alignment horizontal="center" vertical="center"/>
    </xf>
    <xf numFmtId="0" fontId="73" fillId="13" borderId="1" xfId="0" applyFont="1" applyFill="1" applyBorder="1" applyAlignment="1">
      <alignment horizontal="center" vertical="center"/>
    </xf>
    <xf numFmtId="167" fontId="73" fillId="13" borderId="1" xfId="0" applyNumberFormat="1" applyFont="1" applyFill="1" applyBorder="1" applyAlignment="1">
      <alignment horizontal="center" vertical="center"/>
    </xf>
    <xf numFmtId="0" fontId="73" fillId="13" borderId="8" xfId="0" applyFont="1" applyFill="1" applyBorder="1" applyAlignment="1">
      <alignment horizontal="center" vertical="center"/>
    </xf>
    <xf numFmtId="0" fontId="73" fillId="13" borderId="9" xfId="0" applyFont="1" applyFill="1" applyBorder="1" applyAlignment="1">
      <alignment horizontal="center" vertical="center"/>
    </xf>
    <xf numFmtId="0" fontId="121" fillId="29" borderId="1" xfId="0" applyFont="1" applyFill="1" applyBorder="1" applyAlignment="1">
      <alignment horizontal="center" vertical="center"/>
    </xf>
    <xf numFmtId="0" fontId="75" fillId="0" borderId="0" xfId="0" applyFont="1" applyAlignment="1">
      <alignment horizontal="center" vertical="center"/>
    </xf>
    <xf numFmtId="0" fontId="76" fillId="0" borderId="1" xfId="0" applyFont="1" applyBorder="1" applyAlignment="1">
      <alignment horizontal="center" vertical="center"/>
    </xf>
    <xf numFmtId="0" fontId="75" fillId="0" borderId="1" xfId="0" applyFont="1" applyBorder="1" applyAlignment="1">
      <alignment horizontal="center" vertical="center"/>
    </xf>
    <xf numFmtId="14" fontId="75" fillId="0" borderId="1" xfId="0" applyNumberFormat="1" applyFont="1" applyBorder="1" applyAlignment="1">
      <alignment horizontal="center" vertical="center"/>
    </xf>
    <xf numFmtId="167" fontId="75" fillId="0" borderId="1" xfId="0" applyNumberFormat="1" applyFont="1" applyBorder="1" applyAlignment="1">
      <alignment horizontal="center" vertical="center"/>
    </xf>
    <xf numFmtId="0" fontId="70" fillId="0" borderId="1" xfId="0" applyFont="1" applyBorder="1" applyAlignment="1">
      <alignment horizontal="center" vertical="center"/>
    </xf>
    <xf numFmtId="14" fontId="51" fillId="13" borderId="1" xfId="0" applyNumberFormat="1" applyFont="1" applyFill="1" applyBorder="1" applyAlignment="1">
      <alignment horizontal="center" vertical="center"/>
    </xf>
    <xf numFmtId="0" fontId="51" fillId="13" borderId="1" xfId="0" applyFont="1" applyFill="1" applyBorder="1" applyAlignment="1">
      <alignment horizontal="center" vertical="center"/>
    </xf>
    <xf numFmtId="167" fontId="51" fillId="13" borderId="1" xfId="0" applyNumberFormat="1" applyFont="1" applyFill="1" applyBorder="1" applyAlignment="1">
      <alignment horizontal="center" vertical="center"/>
    </xf>
    <xf numFmtId="14" fontId="51" fillId="0" borderId="1" xfId="0" applyNumberFormat="1" applyFont="1" applyBorder="1" applyAlignment="1">
      <alignment horizontal="center" vertical="center"/>
    </xf>
    <xf numFmtId="0" fontId="122" fillId="5" borderId="1" xfId="0" applyFont="1" applyFill="1" applyBorder="1" applyAlignment="1">
      <alignment horizontal="center" vertical="center"/>
    </xf>
    <xf numFmtId="0" fontId="12" fillId="0" borderId="0" xfId="0" applyFont="1" applyAlignment="1">
      <alignment horizontal="center" vertical="center"/>
    </xf>
    <xf numFmtId="0" fontId="14" fillId="5" borderId="1" xfId="0" applyFont="1" applyFill="1" applyBorder="1" applyAlignment="1">
      <alignment horizontal="center" vertical="center"/>
    </xf>
    <xf numFmtId="0" fontId="14" fillId="5" borderId="1" xfId="0" applyFont="1" applyFill="1" applyBorder="1" applyAlignment="1">
      <alignment horizontal="center" vertical="center" wrapText="1"/>
    </xf>
    <xf numFmtId="0" fontId="123" fillId="5" borderId="1" xfId="0" applyFont="1" applyFill="1" applyBorder="1" applyAlignment="1">
      <alignment horizontal="center" vertical="center"/>
    </xf>
    <xf numFmtId="0" fontId="58" fillId="0" borderId="1" xfId="0" applyFont="1" applyBorder="1" applyAlignment="1">
      <alignment horizontal="left" vertical="center"/>
    </xf>
    <xf numFmtId="0" fontId="124" fillId="5" borderId="1" xfId="0" applyFont="1" applyFill="1" applyBorder="1" applyAlignment="1">
      <alignment vertical="center"/>
    </xf>
    <xf numFmtId="0" fontId="66" fillId="0" borderId="0" xfId="0" applyFont="1" applyAlignment="1">
      <alignment vertical="center"/>
    </xf>
    <xf numFmtId="0" fontId="66" fillId="0" borderId="1" xfId="0" applyFont="1" applyBorder="1" applyAlignment="1">
      <alignment vertical="center"/>
    </xf>
    <xf numFmtId="0" fontId="124" fillId="0" borderId="1" xfId="0" applyFont="1" applyBorder="1" applyAlignment="1">
      <alignment horizontal="center" vertical="center"/>
    </xf>
    <xf numFmtId="0" fontId="124" fillId="30" borderId="1" xfId="0" applyFont="1" applyFill="1" applyBorder="1" applyAlignment="1">
      <alignment horizontal="center" vertical="center"/>
    </xf>
    <xf numFmtId="0" fontId="66" fillId="11" borderId="1" xfId="0" applyFont="1" applyFill="1" applyBorder="1" applyAlignment="1">
      <alignment vertical="center"/>
    </xf>
    <xf numFmtId="0" fontId="0" fillId="0" borderId="0" xfId="0" applyAlignment="1">
      <alignment vertical="center" wrapText="1"/>
    </xf>
    <xf numFmtId="0" fontId="66" fillId="0" borderId="1" xfId="0" applyFont="1" applyBorder="1" applyAlignment="1">
      <alignment vertical="center" wrapText="1"/>
    </xf>
    <xf numFmtId="0" fontId="58" fillId="0" borderId="1" xfId="0" applyFont="1" applyBorder="1" applyAlignment="1">
      <alignment vertical="center" wrapText="1"/>
    </xf>
    <xf numFmtId="0" fontId="47" fillId="3" borderId="0" xfId="0" applyFont="1" applyFill="1" applyAlignment="1">
      <alignment vertical="center"/>
    </xf>
    <xf numFmtId="0" fontId="8" fillId="0" borderId="0" xfId="0" applyFont="1" applyAlignment="1">
      <alignment vertical="center"/>
    </xf>
    <xf numFmtId="4" fontId="124" fillId="3" borderId="1" xfId="0" applyNumberFormat="1" applyFont="1" applyFill="1" applyBorder="1" applyAlignment="1">
      <alignment horizontal="center" vertical="center"/>
    </xf>
    <xf numFmtId="185" fontId="124" fillId="3" borderId="1" xfId="0" applyNumberFormat="1" applyFont="1" applyFill="1" applyBorder="1" applyAlignment="1">
      <alignment horizontal="center" vertical="center"/>
    </xf>
    <xf numFmtId="186" fontId="124" fillId="3" borderId="1" xfId="0" applyNumberFormat="1" applyFont="1" applyFill="1" applyBorder="1" applyAlignment="1">
      <alignment horizontal="center" vertical="center"/>
    </xf>
    <xf numFmtId="13" fontId="124" fillId="3" borderId="1" xfId="0" applyNumberFormat="1" applyFont="1" applyFill="1" applyBorder="1" applyAlignment="1">
      <alignment horizontal="center" vertical="center"/>
    </xf>
    <xf numFmtId="187" fontId="124" fillId="3" borderId="1" xfId="0" applyNumberFormat="1" applyFont="1" applyFill="1" applyBorder="1" applyAlignment="1">
      <alignment horizontal="center" vertical="center"/>
    </xf>
    <xf numFmtId="49" fontId="0" fillId="0" borderId="0" xfId="0" applyNumberFormat="1"/>
    <xf numFmtId="165" fontId="0" fillId="0" borderId="0" xfId="0" applyNumberFormat="1"/>
    <xf numFmtId="164" fontId="124" fillId="3" borderId="1" xfId="0" applyNumberFormat="1" applyFont="1" applyFill="1" applyBorder="1" applyAlignment="1">
      <alignment horizontal="center" vertical="center"/>
    </xf>
    <xf numFmtId="188" fontId="118" fillId="13" borderId="1" xfId="0" applyNumberFormat="1" applyFont="1" applyFill="1" applyBorder="1" applyAlignment="1">
      <alignment horizontal="center" vertical="center"/>
    </xf>
    <xf numFmtId="9" fontId="118" fillId="13" borderId="1" xfId="1" applyFont="1" applyFill="1" applyBorder="1" applyAlignment="1">
      <alignment horizontal="center" vertical="center"/>
    </xf>
    <xf numFmtId="166" fontId="118" fillId="13" borderId="1" xfId="3" applyFont="1" applyFill="1" applyBorder="1" applyAlignment="1">
      <alignment horizontal="center" vertical="center"/>
    </xf>
    <xf numFmtId="14" fontId="125" fillId="3" borderId="1" xfId="0" applyNumberFormat="1" applyFont="1" applyFill="1" applyBorder="1" applyAlignment="1">
      <alignment horizontal="center" vertical="center"/>
    </xf>
    <xf numFmtId="177" fontId="125" fillId="3" borderId="1" xfId="0" applyNumberFormat="1" applyFont="1" applyFill="1" applyBorder="1" applyAlignment="1">
      <alignment horizontal="center" vertical="center"/>
    </xf>
    <xf numFmtId="190" fontId="125" fillId="3" borderId="1" xfId="0" applyNumberFormat="1" applyFont="1" applyFill="1" applyBorder="1" applyAlignment="1">
      <alignment horizontal="center" vertical="center"/>
    </xf>
    <xf numFmtId="0" fontId="112" fillId="5" borderId="1" xfId="0" applyFont="1" applyFill="1" applyBorder="1" applyAlignment="1">
      <alignment horizontal="center" vertical="center"/>
    </xf>
    <xf numFmtId="191" fontId="125" fillId="3" borderId="1" xfId="0" applyNumberFormat="1" applyFont="1" applyFill="1" applyBorder="1" applyAlignment="1">
      <alignment horizontal="center" vertical="center"/>
    </xf>
    <xf numFmtId="18" fontId="125" fillId="3" borderId="1" xfId="0" applyNumberFormat="1" applyFont="1" applyFill="1" applyBorder="1" applyAlignment="1">
      <alignment horizontal="center" vertical="center"/>
    </xf>
    <xf numFmtId="22" fontId="125" fillId="3" borderId="1" xfId="0" applyNumberFormat="1" applyFont="1" applyFill="1" applyBorder="1" applyAlignment="1">
      <alignment horizontal="center" vertical="center"/>
    </xf>
    <xf numFmtId="14" fontId="125" fillId="3" borderId="8" xfId="0" applyNumberFormat="1" applyFont="1" applyFill="1" applyBorder="1" applyAlignment="1">
      <alignment horizontal="center" vertical="center"/>
    </xf>
    <xf numFmtId="46" fontId="0" fillId="11" borderId="1" xfId="0" applyNumberFormat="1" applyFill="1" applyBorder="1" applyAlignment="1">
      <alignment horizontal="center" vertical="center"/>
    </xf>
    <xf numFmtId="0" fontId="0" fillId="0" borderId="1" xfId="0" applyBorder="1" applyAlignment="1">
      <alignment horizontal="center" vertical="center" wrapText="1"/>
    </xf>
    <xf numFmtId="0" fontId="92" fillId="2" borderId="2" xfId="0" applyFont="1" applyFill="1" applyBorder="1" applyAlignment="1">
      <alignment horizontal="center" vertical="center"/>
    </xf>
    <xf numFmtId="189" fontId="118" fillId="13" borderId="1" xfId="0" applyNumberFormat="1" applyFont="1" applyFill="1" applyBorder="1" applyAlignment="1">
      <alignment horizontal="left" vertical="center"/>
    </xf>
    <xf numFmtId="0" fontId="126" fillId="0" borderId="0" xfId="0" applyFont="1"/>
    <xf numFmtId="0" fontId="92" fillId="3" borderId="1" xfId="0" applyFont="1" applyFill="1" applyBorder="1" applyAlignment="1">
      <alignment horizontal="center" vertical="center"/>
    </xf>
    <xf numFmtId="0" fontId="92" fillId="5" borderId="1" xfId="0" applyFont="1" applyFill="1" applyBorder="1" applyAlignment="1">
      <alignment horizontal="center" vertical="center"/>
    </xf>
    <xf numFmtId="0" fontId="92" fillId="10" borderId="1" xfId="0" applyFont="1" applyFill="1" applyBorder="1" applyAlignment="1">
      <alignment horizontal="center" vertical="center"/>
    </xf>
    <xf numFmtId="0" fontId="92" fillId="0" borderId="1" xfId="0" applyFont="1" applyBorder="1" applyAlignment="1">
      <alignment horizontal="center" vertical="center"/>
    </xf>
    <xf numFmtId="0" fontId="92" fillId="11" borderId="1" xfId="0" applyFont="1" applyFill="1" applyBorder="1" applyAlignment="1">
      <alignment horizontal="center" vertical="center"/>
    </xf>
    <xf numFmtId="0" fontId="127" fillId="30" borderId="1" xfId="0" applyFont="1" applyFill="1" applyBorder="1" applyAlignment="1">
      <alignment horizontal="center" vertical="center"/>
    </xf>
    <xf numFmtId="0" fontId="128" fillId="0" borderId="1" xfId="0" applyFont="1" applyBorder="1"/>
    <xf numFmtId="0" fontId="128" fillId="0" borderId="2" xfId="0" applyFont="1" applyBorder="1"/>
    <xf numFmtId="0" fontId="128" fillId="0" borderId="5" xfId="0" applyFont="1" applyBorder="1"/>
    <xf numFmtId="0" fontId="126" fillId="0" borderId="4" xfId="0" applyFont="1" applyBorder="1"/>
    <xf numFmtId="0" fontId="126" fillId="0" borderId="3" xfId="0" applyFont="1" applyBorder="1"/>
    <xf numFmtId="0" fontId="126" fillId="0" borderId="10" xfId="0" applyFont="1" applyBorder="1"/>
    <xf numFmtId="0" fontId="128" fillId="0" borderId="18" xfId="0" applyFont="1" applyBorder="1"/>
    <xf numFmtId="0" fontId="128" fillId="0" borderId="8" xfId="0" applyFont="1" applyBorder="1"/>
    <xf numFmtId="0" fontId="128" fillId="0" borderId="17" xfId="0" applyFont="1" applyBorder="1"/>
    <xf numFmtId="0" fontId="92" fillId="0" borderId="2" xfId="0" applyFont="1" applyBorder="1" applyAlignment="1">
      <alignment horizontal="center" vertical="center"/>
    </xf>
    <xf numFmtId="0" fontId="92" fillId="3" borderId="2" xfId="0" applyFont="1" applyFill="1" applyBorder="1" applyAlignment="1">
      <alignment horizontal="center" vertical="center"/>
    </xf>
    <xf numFmtId="0" fontId="92" fillId="10" borderId="2" xfId="0" applyFont="1" applyFill="1" applyBorder="1" applyAlignment="1">
      <alignment horizontal="center" vertical="center"/>
    </xf>
    <xf numFmtId="0" fontId="92" fillId="5" borderId="2" xfId="0" applyFont="1" applyFill="1" applyBorder="1" applyAlignment="1">
      <alignment horizontal="center" vertical="center"/>
    </xf>
    <xf numFmtId="0" fontId="92" fillId="11" borderId="2" xfId="0" applyFont="1" applyFill="1" applyBorder="1" applyAlignment="1">
      <alignment horizontal="center" vertical="center"/>
    </xf>
    <xf numFmtId="0" fontId="92" fillId="0" borderId="5" xfId="0" applyFont="1" applyBorder="1" applyAlignment="1">
      <alignment horizontal="center" vertical="center"/>
    </xf>
    <xf numFmtId="0" fontId="92" fillId="3" borderId="5" xfId="0" applyFont="1" applyFill="1" applyBorder="1" applyAlignment="1">
      <alignment horizontal="center" vertical="center"/>
    </xf>
    <xf numFmtId="0" fontId="92" fillId="10" borderId="5" xfId="0" applyFont="1" applyFill="1" applyBorder="1" applyAlignment="1">
      <alignment horizontal="center" vertical="center"/>
    </xf>
    <xf numFmtId="0" fontId="92" fillId="5" borderId="5" xfId="0" applyFont="1" applyFill="1" applyBorder="1" applyAlignment="1">
      <alignment horizontal="center" vertical="center"/>
    </xf>
    <xf numFmtId="0" fontId="92" fillId="11" borderId="5" xfId="0" applyFont="1" applyFill="1" applyBorder="1" applyAlignment="1">
      <alignment horizontal="center" vertical="center"/>
    </xf>
    <xf numFmtId="0" fontId="92" fillId="0" borderId="18" xfId="0" applyFont="1" applyBorder="1" applyAlignment="1">
      <alignment horizontal="center" vertical="center"/>
    </xf>
    <xf numFmtId="0" fontId="92" fillId="0" borderId="8" xfId="0" applyFont="1" applyBorder="1" applyAlignment="1">
      <alignment horizontal="center" vertical="center"/>
    </xf>
    <xf numFmtId="0" fontId="92" fillId="0" borderId="17" xfId="0" applyFont="1" applyBorder="1" applyAlignment="1">
      <alignment horizontal="center" vertical="center"/>
    </xf>
    <xf numFmtId="0" fontId="129" fillId="3" borderId="4" xfId="0" applyFont="1" applyFill="1" applyBorder="1" applyAlignment="1">
      <alignment horizontal="center" vertical="center"/>
    </xf>
    <xf numFmtId="0" fontId="129" fillId="3" borderId="3" xfId="0" applyFont="1" applyFill="1" applyBorder="1" applyAlignment="1">
      <alignment horizontal="center" vertical="center"/>
    </xf>
    <xf numFmtId="0" fontId="129" fillId="3" borderId="10" xfId="0" applyFont="1" applyFill="1" applyBorder="1" applyAlignment="1">
      <alignment horizontal="center" vertical="center"/>
    </xf>
    <xf numFmtId="0" fontId="51" fillId="26" borderId="1" xfId="0" applyFont="1" applyFill="1" applyBorder="1" applyAlignment="1">
      <alignment horizontal="center" vertical="center"/>
    </xf>
    <xf numFmtId="0" fontId="12" fillId="26" borderId="1" xfId="0" applyFont="1" applyFill="1" applyBorder="1" applyAlignment="1">
      <alignment horizontal="center" vertical="center"/>
    </xf>
    <xf numFmtId="0" fontId="127" fillId="14" borderId="1" xfId="0" applyFont="1" applyFill="1" applyBorder="1" applyAlignment="1">
      <alignment horizontal="center" vertical="center"/>
    </xf>
    <xf numFmtId="180" fontId="77" fillId="0" borderId="5" xfId="0" applyNumberFormat="1" applyFont="1" applyBorder="1" applyAlignment="1">
      <alignment horizontal="center" vertical="center" wrapText="1"/>
    </xf>
    <xf numFmtId="180" fontId="77" fillId="0" borderId="17" xfId="0" applyNumberFormat="1" applyFont="1" applyBorder="1" applyAlignment="1">
      <alignment horizontal="center" vertical="center" wrapText="1"/>
    </xf>
    <xf numFmtId="0" fontId="77" fillId="0" borderId="8" xfId="0" applyFont="1" applyBorder="1" applyAlignment="1">
      <alignment horizontal="center" vertical="center"/>
    </xf>
    <xf numFmtId="0" fontId="130" fillId="13" borderId="4" xfId="0" applyFont="1" applyFill="1" applyBorder="1" applyAlignment="1">
      <alignment horizontal="center" vertical="center" wrapText="1"/>
    </xf>
    <xf numFmtId="0" fontId="130" fillId="13" borderId="10" xfId="0" applyFont="1" applyFill="1" applyBorder="1" applyAlignment="1">
      <alignment horizontal="center" vertical="center" wrapText="1"/>
    </xf>
    <xf numFmtId="0" fontId="110" fillId="0" borderId="1" xfId="0" applyFont="1" applyBorder="1" applyAlignment="1">
      <alignment horizontal="center" vertical="center"/>
    </xf>
    <xf numFmtId="0" fontId="110" fillId="5" borderId="1" xfId="0" applyFont="1" applyFill="1" applyBorder="1" applyAlignment="1">
      <alignment horizontal="center" vertical="center"/>
    </xf>
    <xf numFmtId="0" fontId="22" fillId="0" borderId="0" xfId="0" applyFont="1" applyAlignment="1">
      <alignment horizontal="left" vertical="center"/>
    </xf>
    <xf numFmtId="0" fontId="22" fillId="0" borderId="1" xfId="0" applyFont="1" applyBorder="1" applyAlignment="1">
      <alignment horizontal="left" vertical="center"/>
    </xf>
    <xf numFmtId="0" fontId="22" fillId="0" borderId="8" xfId="0" applyFont="1" applyBorder="1" applyAlignment="1">
      <alignment horizontal="left" vertical="center"/>
    </xf>
    <xf numFmtId="0" fontId="110" fillId="5" borderId="1" xfId="0" applyFont="1" applyFill="1" applyBorder="1" applyAlignment="1">
      <alignment horizontal="left" vertical="center"/>
    </xf>
    <xf numFmtId="180" fontId="22" fillId="0" borderId="1" xfId="0" applyNumberFormat="1" applyFont="1" applyBorder="1" applyAlignment="1">
      <alignment horizontal="left" vertical="center"/>
    </xf>
    <xf numFmtId="180" fontId="110" fillId="5" borderId="1" xfId="0" applyNumberFormat="1" applyFont="1" applyFill="1" applyBorder="1" applyAlignment="1">
      <alignment horizontal="left" vertical="center"/>
    </xf>
    <xf numFmtId="180" fontId="0" fillId="0" borderId="0" xfId="0" applyNumberFormat="1"/>
    <xf numFmtId="180" fontId="0" fillId="0" borderId="36" xfId="0" applyNumberFormat="1" applyBorder="1"/>
    <xf numFmtId="0" fontId="132" fillId="31" borderId="34" xfId="0" applyFont="1" applyFill="1" applyBorder="1" applyAlignment="1">
      <alignment horizontal="left"/>
    </xf>
    <xf numFmtId="0" fontId="132" fillId="31" borderId="35" xfId="0" applyFont="1" applyFill="1" applyBorder="1" applyAlignment="1">
      <alignment horizontal="left"/>
    </xf>
    <xf numFmtId="0" fontId="0" fillId="0" borderId="6" xfId="0" applyBorder="1"/>
    <xf numFmtId="0" fontId="133" fillId="32" borderId="0" xfId="0" applyFont="1" applyFill="1" applyAlignment="1">
      <alignment horizontal="left"/>
    </xf>
    <xf numFmtId="0" fontId="134" fillId="32" borderId="6" xfId="0" applyFont="1" applyFill="1" applyBorder="1" applyAlignment="1">
      <alignment horizontal="left"/>
    </xf>
    <xf numFmtId="0" fontId="133" fillId="32" borderId="36" xfId="0" applyFont="1" applyFill="1" applyBorder="1" applyAlignment="1">
      <alignment horizontal="left"/>
    </xf>
    <xf numFmtId="0" fontId="135" fillId="31" borderId="35" xfId="0" applyFont="1" applyFill="1" applyBorder="1" applyAlignment="1">
      <alignment horizontal="right"/>
    </xf>
    <xf numFmtId="0" fontId="135" fillId="31" borderId="34" xfId="0" applyFont="1" applyFill="1" applyBorder="1" applyAlignment="1">
      <alignment horizontal="right"/>
    </xf>
    <xf numFmtId="180" fontId="0" fillId="33" borderId="0" xfId="0" applyNumberFormat="1" applyFill="1"/>
    <xf numFmtId="0" fontId="136" fillId="0" borderId="0" xfId="0" applyFont="1" applyAlignment="1">
      <alignment vertical="top" wrapText="1"/>
    </xf>
    <xf numFmtId="0" fontId="137" fillId="0" borderId="0" xfId="0" pivotButton="1" applyFont="1"/>
    <xf numFmtId="0" fontId="137" fillId="0" borderId="0" xfId="0" applyFont="1"/>
    <xf numFmtId="0" fontId="137" fillId="0" borderId="0" xfId="0" applyFont="1" applyAlignment="1">
      <alignment horizontal="left"/>
    </xf>
    <xf numFmtId="0" fontId="138" fillId="0" borderId="0" xfId="0" applyFont="1" applyAlignment="1">
      <alignment horizontal="center" vertical="center"/>
    </xf>
    <xf numFmtId="0" fontId="139" fillId="11" borderId="1" xfId="0" applyFont="1" applyFill="1" applyBorder="1" applyAlignment="1">
      <alignment horizontal="center" vertical="center"/>
    </xf>
    <xf numFmtId="0" fontId="140" fillId="0" borderId="1" xfId="0" applyFont="1" applyBorder="1" applyAlignment="1">
      <alignment horizontal="center" vertical="center"/>
    </xf>
    <xf numFmtId="0" fontId="58" fillId="11" borderId="1" xfId="0" applyFont="1" applyFill="1" applyBorder="1" applyAlignment="1">
      <alignment horizontal="center" vertical="center"/>
    </xf>
    <xf numFmtId="0" fontId="67" fillId="0" borderId="0" xfId="0" applyFont="1" applyAlignment="1">
      <alignment horizontal="left" vertical="center"/>
    </xf>
    <xf numFmtId="0" fontId="67" fillId="0" borderId="1" xfId="0" applyFont="1" applyBorder="1" applyAlignment="1">
      <alignment horizontal="left" vertical="center"/>
    </xf>
    <xf numFmtId="0" fontId="66" fillId="0" borderId="1" xfId="0" applyFont="1" applyBorder="1" applyAlignment="1">
      <alignment horizontal="left" vertical="center"/>
    </xf>
    <xf numFmtId="0" fontId="58" fillId="11" borderId="1" xfId="0" applyFont="1" applyFill="1" applyBorder="1" applyAlignment="1">
      <alignment horizontal="left" vertical="center"/>
    </xf>
    <xf numFmtId="0" fontId="141" fillId="11" borderId="1" xfId="0" applyFont="1" applyFill="1" applyBorder="1" applyAlignment="1">
      <alignment horizontal="center" vertical="center"/>
    </xf>
    <xf numFmtId="0" fontId="141" fillId="0" borderId="1" xfId="0" applyFont="1" applyBorder="1" applyAlignment="1">
      <alignment horizontal="center" vertical="center"/>
    </xf>
    <xf numFmtId="0" fontId="142" fillId="0" borderId="1" xfId="0" applyFont="1" applyBorder="1" applyAlignment="1">
      <alignment horizontal="center" vertical="center"/>
    </xf>
    <xf numFmtId="0" fontId="143" fillId="0" borderId="0" xfId="0" applyFont="1" applyAlignment="1">
      <alignment horizontal="center" vertical="center"/>
    </xf>
    <xf numFmtId="0" fontId="144" fillId="11" borderId="1" xfId="0" applyFont="1" applyFill="1" applyBorder="1" applyAlignment="1">
      <alignment horizontal="center" vertical="center"/>
    </xf>
    <xf numFmtId="0" fontId="144" fillId="0" borderId="1" xfId="0" applyFont="1" applyBorder="1" applyAlignment="1">
      <alignment horizontal="center" vertical="center"/>
    </xf>
    <xf numFmtId="0" fontId="143" fillId="0" borderId="1" xfId="0" applyFont="1" applyBorder="1" applyAlignment="1">
      <alignment horizontal="center" vertical="center"/>
    </xf>
    <xf numFmtId="0" fontId="144" fillId="8" borderId="1" xfId="0" applyFont="1" applyFill="1" applyBorder="1" applyAlignment="1">
      <alignment horizontal="center" vertical="center"/>
    </xf>
    <xf numFmtId="0" fontId="144" fillId="8" borderId="8" xfId="0" applyFont="1" applyFill="1" applyBorder="1" applyAlignment="1">
      <alignment horizontal="center" vertical="center"/>
    </xf>
    <xf numFmtId="0" fontId="143" fillId="8" borderId="1" xfId="0" applyFont="1" applyFill="1" applyBorder="1" applyAlignment="1">
      <alignment horizontal="center" vertical="center"/>
    </xf>
    <xf numFmtId="0" fontId="144" fillId="8" borderId="1" xfId="0" applyFont="1" applyFill="1" applyBorder="1" applyAlignment="1">
      <alignment vertical="center"/>
    </xf>
    <xf numFmtId="0" fontId="144" fillId="8" borderId="2" xfId="0" applyFont="1" applyFill="1" applyBorder="1" applyAlignment="1">
      <alignment horizontal="center" vertical="center"/>
    </xf>
    <xf numFmtId="0" fontId="144" fillId="8" borderId="3" xfId="0" applyFont="1" applyFill="1" applyBorder="1" applyAlignment="1">
      <alignment horizontal="center" vertical="center"/>
    </xf>
    <xf numFmtId="0" fontId="144" fillId="5" borderId="1" xfId="0" applyFont="1" applyFill="1" applyBorder="1" applyAlignment="1">
      <alignment horizontal="center" vertical="center"/>
    </xf>
    <xf numFmtId="0" fontId="143" fillId="0" borderId="0" xfId="0" applyFont="1" applyAlignment="1">
      <alignment horizontal="center" vertical="center" wrapText="1"/>
    </xf>
    <xf numFmtId="0" fontId="144" fillId="11" borderId="1" xfId="0" applyFont="1" applyFill="1" applyBorder="1" applyAlignment="1">
      <alignment horizontal="center" vertical="center" wrapText="1"/>
    </xf>
    <xf numFmtId="0" fontId="143" fillId="0" borderId="1" xfId="0" applyFont="1" applyBorder="1" applyAlignment="1">
      <alignment horizontal="center" vertical="center" wrapText="1"/>
    </xf>
    <xf numFmtId="0" fontId="144" fillId="0" borderId="1" xfId="0" applyFont="1" applyBorder="1" applyAlignment="1">
      <alignment horizontal="center" vertical="center" wrapText="1"/>
    </xf>
    <xf numFmtId="0" fontId="144" fillId="8" borderId="1" xfId="0" applyFont="1" applyFill="1" applyBorder="1" applyAlignment="1">
      <alignment horizontal="center" vertical="center" wrapText="1"/>
    </xf>
    <xf numFmtId="0" fontId="143" fillId="8" borderId="1" xfId="0" applyFont="1" applyFill="1" applyBorder="1" applyAlignment="1">
      <alignment horizontal="center" vertical="center" wrapText="1"/>
    </xf>
    <xf numFmtId="0" fontId="145" fillId="11" borderId="1" xfId="0" applyFont="1" applyFill="1" applyBorder="1" applyAlignment="1">
      <alignment horizontal="center" vertical="center"/>
    </xf>
    <xf numFmtId="0" fontId="145" fillId="0" borderId="1" xfId="0" applyFont="1" applyBorder="1" applyAlignment="1">
      <alignment horizontal="center" vertical="center"/>
    </xf>
    <xf numFmtId="0" fontId="146" fillId="0" borderId="0" xfId="0" applyFont="1" applyAlignment="1">
      <alignment horizontal="center" vertical="center"/>
    </xf>
    <xf numFmtId="0" fontId="146" fillId="0" borderId="1" xfId="0" applyFont="1" applyBorder="1" applyAlignment="1">
      <alignment horizontal="center" vertical="center"/>
    </xf>
    <xf numFmtId="0" fontId="58" fillId="0" borderId="1" xfId="0" applyFont="1" applyBorder="1" applyAlignment="1">
      <alignment horizontal="center" vertical="center"/>
    </xf>
    <xf numFmtId="0" fontId="58" fillId="0" borderId="1" xfId="0" applyFont="1" applyBorder="1"/>
    <xf numFmtId="0" fontId="144" fillId="0" borderId="2" xfId="0" applyFont="1" applyBorder="1" applyAlignment="1">
      <alignment horizontal="center" vertical="center"/>
    </xf>
    <xf numFmtId="0" fontId="147" fillId="8" borderId="1" xfId="0" applyFont="1" applyFill="1" applyBorder="1" applyAlignment="1">
      <alignment horizontal="left" vertical="center"/>
    </xf>
    <xf numFmtId="0" fontId="66" fillId="13" borderId="1" xfId="0" applyFont="1" applyFill="1" applyBorder="1" applyAlignment="1">
      <alignment horizontal="center" vertical="center"/>
    </xf>
    <xf numFmtId="14" fontId="67" fillId="0" borderId="1" xfId="0" applyNumberFormat="1" applyFont="1" applyBorder="1" applyAlignment="1">
      <alignment horizontal="center" vertical="center"/>
    </xf>
    <xf numFmtId="18" fontId="67" fillId="0" borderId="1" xfId="0" applyNumberFormat="1" applyFont="1" applyBorder="1" applyAlignment="1">
      <alignment horizontal="center" vertical="center"/>
    </xf>
    <xf numFmtId="0" fontId="59" fillId="0" borderId="0" xfId="0" applyFont="1"/>
    <xf numFmtId="0" fontId="59" fillId="0" borderId="1" xfId="0" applyFont="1" applyBorder="1"/>
    <xf numFmtId="0" fontId="119" fillId="34" borderId="1" xfId="0" applyFont="1" applyFill="1" applyBorder="1" applyAlignment="1">
      <alignment horizontal="center" vertical="center"/>
    </xf>
    <xf numFmtId="0" fontId="88" fillId="3" borderId="0" xfId="0" applyFont="1" applyFill="1" applyAlignment="1">
      <alignment horizontal="center" vertical="center"/>
    </xf>
    <xf numFmtId="167" fontId="87" fillId="13" borderId="1" xfId="0" applyNumberFormat="1" applyFont="1" applyFill="1" applyBorder="1" applyAlignment="1">
      <alignment horizontal="center" vertical="center"/>
    </xf>
    <xf numFmtId="14" fontId="87" fillId="3" borderId="0" xfId="0" applyNumberFormat="1" applyFont="1" applyFill="1" applyAlignment="1">
      <alignment horizontal="center" vertical="center"/>
    </xf>
    <xf numFmtId="0" fontId="87" fillId="3" borderId="0" xfId="0" applyFont="1" applyFill="1" applyAlignment="1">
      <alignment horizontal="center" vertical="center"/>
    </xf>
    <xf numFmtId="0" fontId="87" fillId="13" borderId="1" xfId="0" applyFont="1" applyFill="1" applyBorder="1" applyAlignment="1">
      <alignment horizontal="center" vertical="center"/>
    </xf>
    <xf numFmtId="14" fontId="87" fillId="13" borderId="1" xfId="0" applyNumberFormat="1" applyFont="1" applyFill="1" applyBorder="1" applyAlignment="1">
      <alignment horizontal="center" vertical="center"/>
    </xf>
    <xf numFmtId="167" fontId="0" fillId="0" borderId="0" xfId="0" applyNumberFormat="1"/>
    <xf numFmtId="0" fontId="2" fillId="0" borderId="1" xfId="0" pivotButton="1" applyFont="1" applyBorder="1"/>
    <xf numFmtId="0" fontId="2" fillId="0" borderId="1" xfId="0" applyFont="1" applyBorder="1"/>
    <xf numFmtId="0" fontId="2" fillId="0" borderId="1" xfId="0" applyFont="1" applyBorder="1" applyAlignment="1">
      <alignment horizontal="left"/>
    </xf>
    <xf numFmtId="167" fontId="2" fillId="0" borderId="1" xfId="0" applyNumberFormat="1" applyFont="1" applyBorder="1"/>
    <xf numFmtId="0" fontId="120" fillId="9" borderId="1" xfId="0" applyFont="1" applyFill="1" applyBorder="1" applyAlignment="1">
      <alignment horizontal="center" vertical="center"/>
    </xf>
    <xf numFmtId="0" fontId="149" fillId="9" borderId="1" xfId="0" applyFont="1" applyFill="1" applyBorder="1" applyAlignment="1">
      <alignment horizontal="center" vertical="center"/>
    </xf>
    <xf numFmtId="0" fontId="2" fillId="0" borderId="0" xfId="0" applyFont="1" applyAlignment="1">
      <alignment horizontal="center" vertical="center"/>
    </xf>
    <xf numFmtId="0" fontId="150" fillId="13" borderId="1" xfId="0" applyFont="1" applyFill="1" applyBorder="1" applyAlignment="1">
      <alignment horizontal="center" vertical="center"/>
    </xf>
    <xf numFmtId="14" fontId="150" fillId="13" borderId="1" xfId="0" applyNumberFormat="1" applyFont="1" applyFill="1" applyBorder="1" applyAlignment="1">
      <alignment horizontal="center" vertical="center"/>
    </xf>
    <xf numFmtId="167" fontId="150" fillId="13" borderId="1" xfId="0" applyNumberFormat="1" applyFont="1" applyFill="1" applyBorder="1" applyAlignment="1">
      <alignment horizontal="center" vertical="center"/>
    </xf>
    <xf numFmtId="0" fontId="67" fillId="0" borderId="1" xfId="0" pivotButton="1" applyFont="1" applyBorder="1"/>
    <xf numFmtId="0" fontId="67" fillId="0" borderId="1" xfId="0" applyFont="1" applyBorder="1"/>
    <xf numFmtId="0" fontId="67" fillId="0" borderId="1" xfId="0" applyFont="1" applyBorder="1" applyAlignment="1">
      <alignment horizontal="left"/>
    </xf>
    <xf numFmtId="167" fontId="67" fillId="0" borderId="1" xfId="0" applyNumberFormat="1" applyFont="1" applyBorder="1"/>
    <xf numFmtId="0" fontId="67" fillId="0" borderId="1" xfId="0" applyFont="1" applyBorder="1" applyAlignment="1">
      <alignment horizontal="left" indent="1"/>
    </xf>
    <xf numFmtId="0" fontId="2" fillId="0" borderId="1" xfId="0" applyFont="1" applyBorder="1" applyAlignment="1">
      <alignment horizontal="left" indent="1"/>
    </xf>
    <xf numFmtId="0" fontId="61" fillId="0" borderId="1" xfId="0" applyFont="1" applyBorder="1" applyAlignment="1">
      <alignment horizontal="center"/>
    </xf>
    <xf numFmtId="0" fontId="62" fillId="0" borderId="1" xfId="0" applyFont="1" applyBorder="1" applyAlignment="1">
      <alignment horizontal="right"/>
    </xf>
    <xf numFmtId="0" fontId="62" fillId="0" borderId="8" xfId="0" applyFont="1" applyBorder="1" applyAlignment="1">
      <alignment horizontal="right"/>
    </xf>
    <xf numFmtId="169" fontId="62" fillId="0" borderId="8" xfId="0" applyNumberFormat="1" applyFont="1" applyBorder="1" applyAlignment="1">
      <alignment horizontal="right"/>
    </xf>
    <xf numFmtId="2" fontId="62" fillId="0" borderId="1" xfId="0" applyNumberFormat="1" applyFont="1" applyBorder="1" applyAlignment="1">
      <alignment horizontal="right"/>
    </xf>
    <xf numFmtId="0" fontId="1" fillId="3" borderId="1" xfId="4" applyFont="1" applyFill="1" applyBorder="1" applyAlignment="1">
      <alignment horizontal="center" vertical="center"/>
    </xf>
    <xf numFmtId="0" fontId="154" fillId="3" borderId="1" xfId="0" applyFont="1" applyFill="1" applyBorder="1" applyAlignment="1">
      <alignment horizontal="center" vertical="center"/>
    </xf>
    <xf numFmtId="0" fontId="1" fillId="0" borderId="1" xfId="0" applyFont="1" applyBorder="1" applyAlignment="1">
      <alignment horizontal="center" vertical="center"/>
    </xf>
    <xf numFmtId="0" fontId="154" fillId="3" borderId="1" xfId="0" applyFont="1" applyFill="1" applyBorder="1" applyAlignment="1">
      <alignment horizontal="center" vertical="center" wrapText="1"/>
    </xf>
    <xf numFmtId="0" fontId="1" fillId="3" borderId="1" xfId="4" applyFont="1" applyFill="1" applyBorder="1" applyAlignment="1">
      <alignment horizontal="center" vertical="center" wrapText="1"/>
    </xf>
    <xf numFmtId="0" fontId="47" fillId="35" borderId="1" xfId="4" applyFont="1" applyFill="1" applyBorder="1" applyAlignment="1">
      <alignment horizontal="center" vertical="center"/>
    </xf>
    <xf numFmtId="0" fontId="155" fillId="35" borderId="1" xfId="0" applyFont="1" applyFill="1" applyBorder="1" applyAlignment="1">
      <alignment horizontal="center" vertical="center"/>
    </xf>
    <xf numFmtId="0" fontId="156" fillId="0" borderId="0" xfId="0" applyFont="1" applyAlignment="1">
      <alignment horizontal="center" vertical="center"/>
    </xf>
    <xf numFmtId="0" fontId="157" fillId="0" borderId="0" xfId="4" applyFont="1" applyAlignment="1">
      <alignment horizontal="center"/>
    </xf>
    <xf numFmtId="0" fontId="158" fillId="3" borderId="17" xfId="4" applyFont="1" applyFill="1" applyBorder="1" applyAlignment="1">
      <alignment horizontal="center" vertical="center"/>
    </xf>
    <xf numFmtId="0" fontId="158" fillId="3" borderId="8" xfId="4" applyFont="1" applyFill="1" applyBorder="1" applyAlignment="1">
      <alignment horizontal="center" vertical="center"/>
    </xf>
    <xf numFmtId="0" fontId="159" fillId="3" borderId="18" xfId="4" applyFont="1" applyFill="1" applyBorder="1" applyAlignment="1">
      <alignment horizontal="center" vertical="center"/>
    </xf>
    <xf numFmtId="0" fontId="158" fillId="3" borderId="5" xfId="4" applyFont="1" applyFill="1" applyBorder="1" applyAlignment="1">
      <alignment horizontal="center" vertical="center"/>
    </xf>
    <xf numFmtId="0" fontId="158" fillId="3" borderId="1" xfId="4" applyFont="1" applyFill="1" applyBorder="1" applyAlignment="1">
      <alignment horizontal="center" vertical="center"/>
    </xf>
    <xf numFmtId="0" fontId="159" fillId="3" borderId="2" xfId="4" applyFont="1" applyFill="1" applyBorder="1" applyAlignment="1">
      <alignment horizontal="center" vertical="center"/>
    </xf>
    <xf numFmtId="0" fontId="158" fillId="3" borderId="5" xfId="4" applyFont="1" applyFill="1" applyBorder="1" applyAlignment="1">
      <alignment horizontal="center" vertical="center" wrapText="1"/>
    </xf>
    <xf numFmtId="0" fontId="158" fillId="3" borderId="1" xfId="4" applyFont="1" applyFill="1" applyBorder="1" applyAlignment="1">
      <alignment horizontal="center" vertical="center" wrapText="1"/>
    </xf>
    <xf numFmtId="0" fontId="159" fillId="3" borderId="2" xfId="4" applyFont="1" applyFill="1" applyBorder="1" applyAlignment="1">
      <alignment horizontal="center" vertical="center" wrapText="1"/>
    </xf>
    <xf numFmtId="0" fontId="159" fillId="35" borderId="10" xfId="4" applyFont="1" applyFill="1" applyBorder="1" applyAlignment="1">
      <alignment horizontal="center" vertical="center"/>
    </xf>
    <xf numFmtId="0" fontId="159" fillId="35" borderId="3" xfId="4" applyFont="1" applyFill="1" applyBorder="1" applyAlignment="1">
      <alignment horizontal="center" vertical="center"/>
    </xf>
    <xf numFmtId="0" fontId="159" fillId="35" borderId="4" xfId="4" applyFont="1" applyFill="1" applyBorder="1" applyAlignment="1">
      <alignment horizontal="center" vertical="center"/>
    </xf>
    <xf numFmtId="0" fontId="161" fillId="0" borderId="0" xfId="4" applyFont="1" applyAlignment="1">
      <alignment horizontal="center"/>
    </xf>
    <xf numFmtId="0" fontId="0" fillId="36" borderId="0" xfId="0" applyFill="1"/>
    <xf numFmtId="0" fontId="67" fillId="0" borderId="1" xfId="0" pivotButton="1" applyFont="1" applyBorder="1" applyAlignment="1">
      <alignment horizontal="center" vertical="center"/>
    </xf>
    <xf numFmtId="0" fontId="92" fillId="2" borderId="5" xfId="0" applyFont="1" applyFill="1" applyBorder="1" applyAlignment="1">
      <alignment horizontal="center" vertical="center"/>
    </xf>
    <xf numFmtId="0" fontId="92" fillId="2" borderId="2" xfId="0" applyFont="1" applyFill="1" applyBorder="1" applyAlignment="1">
      <alignment horizontal="center" vertical="center"/>
    </xf>
    <xf numFmtId="0" fontId="106" fillId="5" borderId="14" xfId="0" applyFont="1" applyFill="1" applyBorder="1" applyAlignment="1">
      <alignment horizontal="center" vertical="center"/>
    </xf>
    <xf numFmtId="0" fontId="106" fillId="5" borderId="15" xfId="0" applyFont="1" applyFill="1" applyBorder="1" applyAlignment="1">
      <alignment horizontal="center" vertical="center"/>
    </xf>
    <xf numFmtId="0" fontId="106" fillId="5" borderId="16" xfId="0" applyFont="1" applyFill="1" applyBorder="1" applyAlignment="1">
      <alignment horizontal="center" vertical="center"/>
    </xf>
    <xf numFmtId="0" fontId="107" fillId="24" borderId="30" xfId="0" applyFont="1" applyFill="1" applyBorder="1" applyAlignment="1">
      <alignment horizontal="left" vertical="center" wrapText="1"/>
    </xf>
    <xf numFmtId="0" fontId="107" fillId="24" borderId="0" xfId="0" applyFont="1" applyFill="1" applyAlignment="1">
      <alignment horizontal="left" vertical="center" wrapText="1"/>
    </xf>
    <xf numFmtId="0" fontId="12" fillId="3" borderId="5"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0" fontId="69" fillId="14" borderId="1" xfId="0" applyFont="1" applyFill="1" applyBorder="1" applyAlignment="1">
      <alignment horizontal="center" vertical="center"/>
    </xf>
    <xf numFmtId="0" fontId="67" fillId="4" borderId="1" xfId="0" applyFont="1" applyFill="1" applyBorder="1" applyAlignment="1">
      <alignment horizontal="center" vertical="center"/>
    </xf>
    <xf numFmtId="0" fontId="72" fillId="9" borderId="5" xfId="0" applyFont="1" applyFill="1" applyBorder="1" applyAlignment="1">
      <alignment horizontal="center" vertical="center"/>
    </xf>
    <xf numFmtId="0" fontId="72" fillId="9" borderId="6" xfId="0" applyFont="1" applyFill="1" applyBorder="1" applyAlignment="1">
      <alignment horizontal="center" vertical="center"/>
    </xf>
    <xf numFmtId="0" fontId="72" fillId="9" borderId="2" xfId="0" applyFont="1" applyFill="1" applyBorder="1" applyAlignment="1">
      <alignment horizontal="center" vertical="center"/>
    </xf>
    <xf numFmtId="0" fontId="75" fillId="0" borderId="1" xfId="0" applyFont="1" applyBorder="1" applyAlignment="1">
      <alignment horizontal="center" vertical="center"/>
    </xf>
    <xf numFmtId="0" fontId="66" fillId="11" borderId="5" xfId="0" applyFont="1" applyFill="1" applyBorder="1" applyAlignment="1">
      <alignment horizontal="center" vertical="center" wrapText="1"/>
    </xf>
    <xf numFmtId="0" fontId="66" fillId="11" borderId="2" xfId="0" applyFont="1" applyFill="1" applyBorder="1" applyAlignment="1">
      <alignment horizontal="center" vertical="center" wrapText="1"/>
    </xf>
    <xf numFmtId="0" fontId="58" fillId="5" borderId="10" xfId="0" applyFont="1" applyFill="1" applyBorder="1" applyAlignment="1">
      <alignment horizontal="center" vertical="center"/>
    </xf>
    <xf numFmtId="0" fontId="58" fillId="5" borderId="4" xfId="0" applyFont="1" applyFill="1" applyBorder="1" applyAlignment="1">
      <alignment horizontal="center" vertical="center"/>
    </xf>
    <xf numFmtId="0" fontId="47" fillId="10" borderId="19" xfId="0" applyFont="1" applyFill="1" applyBorder="1" applyAlignment="1">
      <alignment horizontal="center" vertical="center" wrapText="1"/>
    </xf>
    <xf numFmtId="0" fontId="131" fillId="0" borderId="0" xfId="0" applyFont="1" applyAlignment="1">
      <alignment horizontal="center"/>
    </xf>
    <xf numFmtId="0" fontId="110" fillId="30" borderId="1" xfId="0" applyFont="1" applyFill="1" applyBorder="1" applyAlignment="1">
      <alignment horizontal="center" vertical="center"/>
    </xf>
    <xf numFmtId="0" fontId="144" fillId="11" borderId="5" xfId="0" applyFont="1" applyFill="1" applyBorder="1" applyAlignment="1">
      <alignment horizontal="center" vertical="center"/>
    </xf>
    <xf numFmtId="0" fontId="144" fillId="11" borderId="2" xfId="0" applyFont="1" applyFill="1" applyBorder="1" applyAlignment="1">
      <alignment horizontal="center" vertical="center"/>
    </xf>
    <xf numFmtId="0" fontId="144" fillId="5" borderId="1" xfId="0" applyFont="1" applyFill="1" applyBorder="1" applyAlignment="1">
      <alignment horizontal="center" vertical="center"/>
    </xf>
    <xf numFmtId="0" fontId="58" fillId="11" borderId="5" xfId="0" applyFont="1" applyFill="1" applyBorder="1" applyAlignment="1">
      <alignment horizontal="center" vertical="center"/>
    </xf>
    <xf numFmtId="0" fontId="58" fillId="11" borderId="2" xfId="0" applyFont="1" applyFill="1" applyBorder="1" applyAlignment="1">
      <alignment horizontal="center" vertical="center"/>
    </xf>
    <xf numFmtId="0" fontId="79" fillId="10" borderId="8" xfId="0" applyFont="1" applyFill="1" applyBorder="1" applyAlignment="1">
      <alignment horizontal="center" vertical="center"/>
    </xf>
    <xf numFmtId="0" fontId="79" fillId="10" borderId="22" xfId="0" applyFont="1" applyFill="1" applyBorder="1" applyAlignment="1">
      <alignment horizontal="center" vertical="center"/>
    </xf>
    <xf numFmtId="0" fontId="79" fillId="10" borderId="3" xfId="0" applyFont="1" applyFill="1" applyBorder="1" applyAlignment="1">
      <alignment horizontal="center" vertical="center"/>
    </xf>
    <xf numFmtId="0" fontId="79" fillId="10" borderId="18" xfId="0" applyFont="1" applyFill="1" applyBorder="1" applyAlignment="1">
      <alignment horizontal="center" vertical="center" wrapText="1"/>
    </xf>
    <xf numFmtId="0" fontId="79" fillId="10" borderId="21" xfId="0" applyFont="1" applyFill="1" applyBorder="1" applyAlignment="1">
      <alignment horizontal="center" vertical="center" wrapText="1"/>
    </xf>
    <xf numFmtId="0" fontId="79" fillId="10" borderId="4" xfId="0" applyFont="1" applyFill="1" applyBorder="1" applyAlignment="1">
      <alignment horizontal="center" vertical="center" wrapText="1"/>
    </xf>
    <xf numFmtId="0" fontId="75" fillId="10" borderId="1" xfId="0" applyFont="1" applyFill="1" applyBorder="1" applyAlignment="1">
      <alignment horizontal="center" vertical="center" wrapText="1"/>
    </xf>
    <xf numFmtId="0" fontId="75" fillId="10" borderId="8" xfId="0" applyFont="1" applyFill="1" applyBorder="1" applyAlignment="1">
      <alignment horizontal="center" vertical="center" wrapText="1"/>
    </xf>
    <xf numFmtId="0" fontId="75" fillId="10" borderId="22" xfId="0" applyFont="1" applyFill="1" applyBorder="1" applyAlignment="1">
      <alignment horizontal="center" vertical="center" wrapText="1"/>
    </xf>
    <xf numFmtId="0" fontId="75" fillId="10" borderId="3" xfId="0" applyFont="1" applyFill="1" applyBorder="1" applyAlignment="1">
      <alignment horizontal="center" vertical="center" wrapText="1"/>
    </xf>
    <xf numFmtId="0" fontId="108" fillId="0" borderId="1" xfId="0" applyFont="1" applyBorder="1" applyAlignment="1">
      <alignment horizontal="center" vertical="center" wrapText="1"/>
    </xf>
    <xf numFmtId="0" fontId="76" fillId="13" borderId="5" xfId="0" applyFont="1" applyFill="1" applyBorder="1" applyAlignment="1">
      <alignment horizontal="center" vertical="center" wrapText="1"/>
    </xf>
    <xf numFmtId="0" fontId="76" fillId="13" borderId="6" xfId="0" applyFont="1" applyFill="1" applyBorder="1" applyAlignment="1">
      <alignment horizontal="center" vertical="center" wrapText="1"/>
    </xf>
    <xf numFmtId="0" fontId="76" fillId="13" borderId="2" xfId="0" applyFont="1" applyFill="1" applyBorder="1" applyAlignment="1">
      <alignment horizontal="center" vertical="center" wrapText="1"/>
    </xf>
    <xf numFmtId="0" fontId="148" fillId="0" borderId="1" xfId="0" applyFont="1" applyBorder="1" applyAlignment="1">
      <alignment horizontal="center" vertical="center"/>
    </xf>
    <xf numFmtId="0" fontId="152" fillId="35" borderId="26" xfId="0" applyFont="1" applyFill="1" applyBorder="1" applyAlignment="1">
      <alignment horizontal="left" vertical="center" wrapText="1"/>
    </xf>
    <xf numFmtId="0" fontId="151" fillId="35" borderId="26" xfId="0" applyFont="1" applyFill="1" applyBorder="1" applyAlignment="1">
      <alignment horizontal="left" vertical="center" wrapText="1"/>
    </xf>
    <xf numFmtId="0" fontId="152" fillId="8" borderId="26" xfId="0" applyFont="1" applyFill="1" applyBorder="1" applyAlignment="1">
      <alignment horizontal="left" vertical="center" wrapText="1"/>
    </xf>
    <xf numFmtId="0" fontId="103" fillId="8" borderId="5" xfId="0" applyFont="1" applyFill="1" applyBorder="1" applyAlignment="1">
      <alignment horizontal="center" vertical="center"/>
    </xf>
    <xf numFmtId="0" fontId="103" fillId="8" borderId="6" xfId="0" applyFont="1" applyFill="1" applyBorder="1" applyAlignment="1">
      <alignment horizontal="center" vertical="center"/>
    </xf>
    <xf numFmtId="0" fontId="103" fillId="8" borderId="2" xfId="0" applyFont="1" applyFill="1" applyBorder="1" applyAlignment="1">
      <alignment horizontal="center" vertical="center"/>
    </xf>
    <xf numFmtId="0" fontId="160" fillId="8" borderId="5" xfId="0" applyFont="1" applyFill="1" applyBorder="1" applyAlignment="1">
      <alignment horizontal="center" vertical="center"/>
    </xf>
    <xf numFmtId="0" fontId="160" fillId="8" borderId="6" xfId="0" applyFont="1" applyFill="1" applyBorder="1" applyAlignment="1">
      <alignment horizontal="center" vertical="center"/>
    </xf>
    <xf numFmtId="0" fontId="160" fillId="8" borderId="2" xfId="0" applyFont="1" applyFill="1" applyBorder="1" applyAlignment="1">
      <alignment horizontal="center" vertical="center"/>
    </xf>
    <xf numFmtId="14" fontId="22" fillId="0" borderId="0" xfId="0" applyNumberFormat="1" applyFont="1" applyAlignment="1">
      <alignment horizontal="center" vertical="center"/>
    </xf>
    <xf numFmtId="200" fontId="75" fillId="0" borderId="1" xfId="0" applyNumberFormat="1" applyFont="1" applyBorder="1" applyAlignment="1">
      <alignment horizontal="center" vertical="center"/>
    </xf>
    <xf numFmtId="0" fontId="8" fillId="0" borderId="37" xfId="0" applyFont="1" applyBorder="1" applyAlignment="1">
      <alignment horizontal="center" vertical="top" wrapText="1"/>
    </xf>
    <xf numFmtId="0" fontId="8" fillId="0" borderId="38" xfId="0" applyFont="1" applyBorder="1" applyAlignment="1">
      <alignment horizontal="center" vertical="top" wrapText="1"/>
    </xf>
    <xf numFmtId="14" fontId="0" fillId="0" borderId="39" xfId="0" applyNumberFormat="1" applyBorder="1" applyAlignment="1">
      <alignment horizontal="center" vertical="center" wrapText="1"/>
    </xf>
    <xf numFmtId="0" fontId="0" fillId="0" borderId="39" xfId="0" applyBorder="1" applyAlignment="1">
      <alignment horizontal="center" vertical="center" wrapText="1"/>
    </xf>
    <xf numFmtId="14" fontId="0" fillId="0" borderId="40" xfId="0" applyNumberFormat="1" applyBorder="1" applyAlignment="1">
      <alignment horizontal="center" vertical="center" wrapText="1"/>
    </xf>
    <xf numFmtId="0" fontId="0" fillId="0" borderId="40" xfId="0" applyBorder="1" applyAlignment="1">
      <alignment horizontal="center" vertical="center" wrapText="1"/>
    </xf>
    <xf numFmtId="0" fontId="0" fillId="0" borderId="0" xfId="0" applyNumberFormat="1"/>
  </cellXfs>
  <cellStyles count="5">
    <cellStyle name="Comma" xfId="3" builtinId="3"/>
    <cellStyle name="Hyperlink" xfId="2" builtinId="8"/>
    <cellStyle name="Normal" xfId="0" builtinId="0"/>
    <cellStyle name="Normal 2" xfId="4" xr:uid="{A8DB68D1-6373-49DE-8D8E-799D04159DFC}"/>
    <cellStyle name="Percent" xfId="1" builtinId="5"/>
  </cellStyles>
  <dxfs count="180">
    <dxf>
      <fill>
        <patternFill>
          <bgColor theme="7" tint="0.39994506668294322"/>
        </patternFill>
      </fill>
    </dxf>
    <dxf>
      <fill>
        <gradientFill degree="45">
          <stop position="0">
            <color theme="0"/>
          </stop>
          <stop position="1">
            <color theme="4"/>
          </stop>
        </gradientFill>
      </fill>
    </dxf>
    <dxf>
      <fill>
        <gradientFill degree="45">
          <stop position="0">
            <color theme="0"/>
          </stop>
          <stop position="1">
            <color theme="5" tint="-0.25098422193060094"/>
          </stop>
        </gradientFill>
      </fill>
    </dxf>
    <dxf>
      <fill>
        <patternFill>
          <bgColor theme="7" tint="0.59996337778862885"/>
        </patternFill>
      </fill>
    </dxf>
    <dxf>
      <fill>
        <gradientFill degree="135">
          <stop position="0">
            <color theme="0"/>
          </stop>
          <stop position="1">
            <color theme="4"/>
          </stop>
        </gradientFill>
      </fill>
    </dxf>
    <dxf>
      <fill>
        <gradientFill degree="135">
          <stop position="0">
            <color theme="0"/>
          </stop>
          <stop position="1">
            <color theme="7" tint="0.40000610370189521"/>
          </stop>
        </gradientFill>
      </fill>
    </dxf>
    <dxf>
      <fill>
        <patternFill patternType="darkVertical">
          <fgColor auto="1"/>
          <bgColor auto="1"/>
        </patternFill>
      </fill>
    </dxf>
    <dxf>
      <fill>
        <gradientFill degree="135">
          <stop position="0">
            <color theme="0"/>
          </stop>
          <stop position="1">
            <color theme="4"/>
          </stop>
        </gradientFill>
      </fill>
    </dxf>
    <dxf>
      <fill>
        <patternFill patternType="solid">
          <fgColor auto="1"/>
          <bgColor theme="9" tint="0.39994506668294322"/>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3"/>
      </font>
    </dxf>
    <dxf>
      <font>
        <sz val="13"/>
      </font>
    </dxf>
    <dxf>
      <font>
        <sz val="13"/>
      </font>
    </dxf>
    <dxf>
      <font>
        <sz val="13"/>
      </font>
    </dxf>
    <dxf>
      <font>
        <sz val="13"/>
      </font>
    </dxf>
    <dxf>
      <font>
        <sz val="13"/>
      </font>
    </dxf>
    <dxf>
      <font>
        <b val="0"/>
        <i val="0"/>
        <strike val="0"/>
        <condense val="0"/>
        <extend val="0"/>
        <outline val="0"/>
        <shadow val="0"/>
        <u val="none"/>
        <vertAlign val="baseline"/>
        <sz val="12"/>
        <color theme="1"/>
        <name val="Book Antiqua"/>
        <family val="1"/>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border>
      <protection locked="1" hidden="0"/>
    </dxf>
    <dxf>
      <font>
        <b val="0"/>
        <i val="0"/>
        <strike val="0"/>
        <condense val="0"/>
        <extend val="0"/>
        <outline val="0"/>
        <shadow val="0"/>
        <u val="none"/>
        <vertAlign val="baseline"/>
        <sz val="12"/>
        <color theme="1"/>
        <name val="Book Antiqua"/>
        <family val="1"/>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Book Antiqua"/>
        <family val="1"/>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2"/>
        <color theme="1"/>
        <name val="Book Antiqua"/>
        <family val="1"/>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ook Antiqua"/>
        <family val="1"/>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2"/>
        <color theme="1"/>
        <name val="Book Antiqua"/>
        <family val="1"/>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ook Antiqua"/>
        <family val="1"/>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2"/>
        <color theme="1"/>
        <name val="Book Antiqua"/>
        <family val="1"/>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ook Antiqua"/>
        <family val="1"/>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2"/>
        <color theme="1"/>
        <name val="Book Antiqua"/>
        <family val="1"/>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Book Antiqua"/>
        <family val="1"/>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border>
      <protection locked="1" hidden="0"/>
    </dxf>
    <dxf>
      <font>
        <b/>
        <i val="0"/>
        <strike val="0"/>
        <condense val="0"/>
        <extend val="0"/>
        <outline val="0"/>
        <shadow val="0"/>
        <u val="none"/>
        <vertAlign val="baseline"/>
        <sz val="12"/>
        <color theme="1"/>
        <name val="Book Antiqua"/>
        <family val="1"/>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ook Antiqua"/>
        <family val="1"/>
        <scheme val="none"/>
      </font>
      <fill>
        <patternFill patternType="solid">
          <fgColor indexed="64"/>
          <bgColor theme="0"/>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Book Antiqua"/>
        <family val="1"/>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192" formatCode="dd/mm/yyyy"/>
    </dxf>
    <dxf>
      <numFmt numFmtId="0" formatCode="General"/>
    </dxf>
    <dxf>
      <numFmt numFmtId="0" formatCode="General"/>
    </dxf>
    <dxf>
      <numFmt numFmtId="192" formatCode="dd/mm/yyyy"/>
    </dxf>
    <dxf>
      <numFmt numFmtId="0" formatCode="General"/>
    </dxf>
    <dxf>
      <numFmt numFmtId="0" formatCode="General"/>
    </dxf>
    <dxf>
      <numFmt numFmtId="192" formatCode="dd/mm/yyyy"/>
    </dxf>
    <dxf>
      <numFmt numFmtId="0" formatCode="General"/>
    </dxf>
    <dxf>
      <numFmt numFmtId="0" formatCode="General"/>
    </dxf>
    <dxf>
      <numFmt numFmtId="192" formatCode="dd/mm/yyyy"/>
    </dxf>
    <dxf>
      <numFmt numFmtId="0" formatCode="General"/>
    </dxf>
    <dxf>
      <numFmt numFmtId="0" formatCode="General"/>
    </dxf>
    <dxf>
      <numFmt numFmtId="192" formatCode="dd/mm/yyyy"/>
    </dxf>
    <dxf>
      <numFmt numFmtId="0" formatCode="General"/>
    </dxf>
    <dxf>
      <numFmt numFmtId="0" formatCode="General"/>
    </dxf>
    <dxf>
      <numFmt numFmtId="192" formatCode="dd/mm/yyyy"/>
    </dxf>
    <dxf>
      <numFmt numFmtId="0" formatCode="General"/>
    </dxf>
    <dxf>
      <numFmt numFmtId="0" formatCode="General"/>
    </dxf>
    <dxf>
      <font>
        <sz val="13"/>
      </font>
    </dxf>
    <dxf>
      <font>
        <sz val="13"/>
      </font>
    </dxf>
    <dxf>
      <font>
        <sz val="13"/>
      </font>
    </dxf>
    <dxf>
      <font>
        <sz val="13"/>
      </font>
    </dxf>
    <dxf>
      <font>
        <sz val="13"/>
      </font>
    </dxf>
    <dxf>
      <font>
        <sz val="13"/>
      </font>
    </dxf>
    <dxf>
      <font>
        <sz val="13"/>
      </font>
    </dxf>
    <dxf>
      <font>
        <sz val="13"/>
      </font>
    </dxf>
    <dxf>
      <font>
        <sz val="13"/>
      </font>
    </dxf>
    <dxf>
      <font>
        <sz val="13"/>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3"/>
      </font>
    </dxf>
    <dxf>
      <font>
        <sz val="13"/>
      </font>
    </dxf>
    <dxf>
      <font>
        <sz val="13"/>
      </font>
    </dxf>
    <dxf>
      <font>
        <sz val="13"/>
      </font>
    </dxf>
    <dxf>
      <font>
        <sz val="13"/>
      </font>
    </dxf>
    <dxf>
      <font>
        <sz val="13"/>
      </font>
    </dxf>
    <dxf>
      <font>
        <sz val="13"/>
      </font>
    </dxf>
    <dxf>
      <font>
        <sz val="13"/>
      </font>
    </dxf>
    <dxf>
      <font>
        <sz val="13"/>
      </font>
    </dxf>
    <dxf>
      <font>
        <sz val="13"/>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3"/>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numFmt numFmtId="0" formatCode="General"/>
    </dxf>
    <dxf>
      <numFmt numFmtId="0" formatCode="General"/>
    </dxf>
    <dxf>
      <font>
        <b val="0"/>
        <i val="0"/>
        <strike val="0"/>
        <condense val="0"/>
        <extend val="0"/>
        <outline val="0"/>
        <shadow val="0"/>
        <u val="none"/>
        <vertAlign val="baseline"/>
        <sz val="11"/>
        <color theme="1"/>
        <name val="Amasis MT Pro"/>
        <family val="1"/>
        <scheme val="none"/>
      </font>
      <numFmt numFmtId="180" formatCode="&quot;₹&quot;\ #,##0"/>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masis MT Pro"/>
        <family val="1"/>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Amasis MT Pro"/>
        <family val="1"/>
        <scheme val="none"/>
      </font>
      <fill>
        <patternFill patternType="solid">
          <fgColor indexed="64"/>
          <bgColor theme="5" tint="0.79998168889431442"/>
        </patternFill>
      </fill>
      <alignment horizontal="center"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ertAlign val="baseline"/>
        <sz val="13"/>
        <color auto="1"/>
        <name val="Amasis MT Pro Medium"/>
        <family val="1"/>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5"/>
        <color theme="1"/>
        <name val="Comic Sans MS"/>
        <family val="4"/>
        <scheme val="none"/>
      </font>
      <border diagonalUp="0" diagonalDown="0" outline="0">
        <left style="thin">
          <color indexed="64"/>
        </left>
        <right/>
        <top style="thin">
          <color indexed="64"/>
        </top>
        <bottom/>
      </border>
    </dxf>
    <dxf>
      <font>
        <b val="0"/>
        <i val="0"/>
        <strike val="0"/>
        <condense val="0"/>
        <extend val="0"/>
        <outline val="0"/>
        <shadow val="0"/>
        <u val="none"/>
        <vertAlign val="baseline"/>
        <sz val="11.5"/>
        <color theme="1"/>
        <name val="Comic Sans MS"/>
        <family val="4"/>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5"/>
        <color theme="1"/>
        <name val="Comic Sans MS"/>
        <family val="4"/>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5"/>
        <color theme="1"/>
        <name val="Comic Sans MS"/>
        <family val="4"/>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5"/>
        <color theme="1"/>
        <name val="Comic Sans MS"/>
        <family val="4"/>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5"/>
        <color theme="1"/>
        <name val="Comic Sans MS"/>
        <family val="4"/>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5"/>
        <color theme="1"/>
        <name val="Comic Sans MS"/>
        <family val="4"/>
        <scheme val="none"/>
      </font>
      <border diagonalUp="0" diagonalDown="0" outline="0">
        <left/>
        <right style="thin">
          <color indexed="64"/>
        </right>
        <top style="thin">
          <color indexed="64"/>
        </top>
        <bottom/>
      </border>
    </dxf>
    <dxf>
      <font>
        <b val="0"/>
        <i val="0"/>
        <strike val="0"/>
        <condense val="0"/>
        <extend val="0"/>
        <outline val="0"/>
        <shadow val="0"/>
        <u val="none"/>
        <vertAlign val="baseline"/>
        <sz val="11.5"/>
        <color theme="1"/>
        <name val="Comic Sans MS"/>
        <family val="4"/>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5"/>
        <color theme="1"/>
        <name val="Comic Sans MS"/>
        <family val="4"/>
        <scheme val="none"/>
      </font>
      <border diagonalUp="0" diagonalDown="0" outline="0">
        <left style="thin">
          <color indexed="64"/>
        </left>
        <right style="thin">
          <color indexed="64"/>
        </right>
        <top/>
        <bottom/>
      </border>
    </dxf>
    <dxf>
      <border diagonalUp="0" diagonalDown="0" outline="0">
        <left/>
        <right/>
        <top style="thin">
          <color indexed="64"/>
        </top>
        <bottom/>
      </border>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1"/>
        <color theme="1"/>
        <name val="Calibri"/>
        <family val="2"/>
        <scheme val="minor"/>
      </font>
      <numFmt numFmtId="167" formatCode="&quot;₹&quot;\ #,##0.00"/>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numFmt numFmtId="167" formatCode="&quot;₹&quot;\ #,##0.00"/>
      <fill>
        <patternFill patternType="none">
          <fgColor indexed="64"/>
          <bgColor indexed="65"/>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customXml" Target="../customXml/item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customXml" Target="../customXml/item1.xml"/><Relationship Id="rId16" Type="http://schemas.openxmlformats.org/officeDocument/2006/relationships/worksheet" Target="worksheets/sheet16.xml"/><Relationship Id="rId107" Type="http://schemas.microsoft.com/office/2017/06/relationships/rdRichValueStructure" Target="richData/rdrichvaluestructure.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connections" Target="connection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pivotCacheDefinition" Target="pivotCache/pivotCacheDefinition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customXml" Target="../customXml/item2.xml"/><Relationship Id="rId118" Type="http://schemas.openxmlformats.org/officeDocument/2006/relationships/customXml" Target="../customXml/item7.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styles" Target="styles.xml"/><Relationship Id="rId108" Type="http://schemas.microsoft.com/office/2017/06/relationships/rdRichValueTypes" Target="richData/rdRichValueTypes.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pivotCacheDefinition" Target="pivotCache/pivotCacheDefinition1.xml"/><Relationship Id="rId96" Type="http://schemas.openxmlformats.org/officeDocument/2006/relationships/pivotCacheDefinition" Target="pivotCache/pivotCacheDefinition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customXml" Target="../customXml/item3.xml"/><Relationship Id="rId119" Type="http://schemas.openxmlformats.org/officeDocument/2006/relationships/customXml" Target="../customXml/item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pivotCacheDefinition" Target="pivotCache/pivotCacheDefinition4.xml"/><Relationship Id="rId99" Type="http://schemas.microsoft.com/office/2011/relationships/timelineCache" Target="timelineCaches/timelineCache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powerPivotData" Target="model/item.data"/><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pivotCacheDefinition" Target="pivotCache/pivotCacheDefinition7.xml"/><Relationship Id="rId104"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pivotCacheDefinition" Target="pivotCache/pivotCacheDefinition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microsoft.com/office/2017/10/relationships/person" Target="persons/person.xml"/><Relationship Id="rId115" Type="http://schemas.openxmlformats.org/officeDocument/2006/relationships/customXml" Target="../customXml/item4.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microsoft.com/office/2007/relationships/slicerCache" Target="slicerCaches/slicerCache2.xml"/><Relationship Id="rId105"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pivotCacheDefinition" Target="pivotCache/pivotCacheDefinition3.xml"/><Relationship Id="rId98" Type="http://schemas.microsoft.com/office/2007/relationships/slicerCache" Target="slicerCaches/slicerCache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customXml" Target="../customXml/item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5.xml.rels><?xml version="1.0" encoding="UTF-8" standalone="yes"?>
<Relationships xmlns="http://schemas.openxmlformats.org/package/2006/relationships"><Relationship Id="rId3" Type="http://schemas.microsoft.com/office/2011/relationships/chartColorStyle" Target="colors12.xml"/><Relationship Id="rId2" Type="http://schemas.microsoft.com/office/2011/relationships/chartStyle" Target="style12.xml"/><Relationship Id="rId1" Type="http://schemas.openxmlformats.org/officeDocument/2006/relationships/image" Target="../media/image1.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[Assigment.xlsx]Pivot Chart!PivotTable5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Summarized Selling Prices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Chart'!$C$1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Chart'!$B$2:$B$22</c:f>
              <c:multiLvlStrCache>
                <c:ptCount val="16"/>
                <c:lvl>
                  <c:pt idx="0">
                    <c:v>Bass Headphones</c:v>
                  </c:pt>
                  <c:pt idx="1">
                    <c:v>Footwear</c:v>
                  </c:pt>
                  <c:pt idx="2">
                    <c:v>Mobile</c:v>
                  </c:pt>
                  <c:pt idx="3">
                    <c:v>Smartwatch</c:v>
                  </c:pt>
                  <c:pt idx="4">
                    <c:v>Beard trimmer</c:v>
                  </c:pt>
                  <c:pt idx="5">
                    <c:v>Deodarant</c:v>
                  </c:pt>
                  <c:pt idx="6">
                    <c:v>Mobile</c:v>
                  </c:pt>
                  <c:pt idx="7">
                    <c:v>Shaving cream</c:v>
                  </c:pt>
                  <c:pt idx="8">
                    <c:v>Wrist watch</c:v>
                  </c:pt>
                  <c:pt idx="9">
                    <c:v>Bass Headphones</c:v>
                  </c:pt>
                  <c:pt idx="10">
                    <c:v>Earbuds</c:v>
                  </c:pt>
                  <c:pt idx="11">
                    <c:v>Jackets</c:v>
                  </c:pt>
                  <c:pt idx="12">
                    <c:v>Beard trimmer</c:v>
                  </c:pt>
                  <c:pt idx="13">
                    <c:v>Earbuds</c:v>
                  </c:pt>
                  <c:pt idx="14">
                    <c:v>Mobile</c:v>
                  </c:pt>
                  <c:pt idx="15">
                    <c:v>Shaving cream</c:v>
                  </c:pt>
                </c:lvl>
                <c:lvl>
                  <c:pt idx="0">
                    <c:v>East</c:v>
                  </c:pt>
                  <c:pt idx="4">
                    <c:v>North</c:v>
                  </c:pt>
                  <c:pt idx="9">
                    <c:v>South</c:v>
                  </c:pt>
                  <c:pt idx="12">
                    <c:v>West</c:v>
                  </c:pt>
                </c:lvl>
              </c:multiLvlStrCache>
            </c:multiLvlStrRef>
          </c:cat>
          <c:val>
            <c:numRef>
              <c:f>'Pivot Chart'!$C$2:$C$22</c:f>
              <c:numCache>
                <c:formatCode>"₹"\ #,##0.00</c:formatCode>
                <c:ptCount val="16"/>
                <c:pt idx="0">
                  <c:v>5000</c:v>
                </c:pt>
                <c:pt idx="1">
                  <c:v>15000</c:v>
                </c:pt>
                <c:pt idx="2">
                  <c:v>8000</c:v>
                </c:pt>
                <c:pt idx="3">
                  <c:v>20000</c:v>
                </c:pt>
                <c:pt idx="4">
                  <c:v>18000</c:v>
                </c:pt>
                <c:pt idx="5">
                  <c:v>45000</c:v>
                </c:pt>
                <c:pt idx="6">
                  <c:v>10000</c:v>
                </c:pt>
                <c:pt idx="7">
                  <c:v>28000</c:v>
                </c:pt>
                <c:pt idx="8">
                  <c:v>50000</c:v>
                </c:pt>
                <c:pt idx="9">
                  <c:v>30000</c:v>
                </c:pt>
                <c:pt idx="10">
                  <c:v>38000</c:v>
                </c:pt>
                <c:pt idx="11">
                  <c:v>40000</c:v>
                </c:pt>
                <c:pt idx="12">
                  <c:v>85000</c:v>
                </c:pt>
                <c:pt idx="13">
                  <c:v>42000</c:v>
                </c:pt>
                <c:pt idx="14">
                  <c:v>35000</c:v>
                </c:pt>
                <c:pt idx="15">
                  <c:v>30000</c:v>
                </c:pt>
              </c:numCache>
            </c:numRef>
          </c:val>
          <c:extLst>
            <c:ext xmlns:c16="http://schemas.microsoft.com/office/drawing/2014/chart" uri="{C3380CC4-5D6E-409C-BE32-E72D297353CC}">
              <c16:uniqueId val="{00000000-2E3C-49B0-B3C9-21F12E132FEB}"/>
            </c:ext>
          </c:extLst>
        </c:ser>
        <c:dLbls>
          <c:showLegendKey val="0"/>
          <c:showVal val="1"/>
          <c:showCatName val="0"/>
          <c:showSerName val="0"/>
          <c:showPercent val="0"/>
          <c:showBubbleSize val="0"/>
        </c:dLbls>
        <c:gapWidth val="150"/>
        <c:shape val="box"/>
        <c:axId val="604940031"/>
        <c:axId val="604943871"/>
        <c:axId val="0"/>
      </c:bar3DChart>
      <c:catAx>
        <c:axId val="604940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4943871"/>
        <c:crosses val="autoZero"/>
        <c:auto val="1"/>
        <c:lblAlgn val="ctr"/>
        <c:lblOffset val="100"/>
        <c:noMultiLvlLbl val="0"/>
      </c:catAx>
      <c:valAx>
        <c:axId val="604943871"/>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4940031"/>
        <c:crosses val="autoZero"/>
        <c:crossBetween val="between"/>
      </c:valAx>
      <c:spPr>
        <a:noFill/>
        <a:ln cap="rnd" cmpd="dbl">
          <a:solidFill>
            <a:schemeClr val="bg1"/>
          </a:solidFill>
          <a:prstDash val="sysDash"/>
          <a:miter lim="800000"/>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[Assigment.xlsx]Pivot Slicer!PivotTable6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Slicer'!$C$2</c:f>
              <c:strCache>
                <c:ptCount val="1"/>
                <c:pt idx="0">
                  <c:v>Total</c:v>
                </c:pt>
              </c:strCache>
            </c:strRef>
          </c:tx>
          <c:spPr>
            <a:solidFill>
              <a:schemeClr val="accent1"/>
            </a:solidFill>
            <a:ln>
              <a:noFill/>
            </a:ln>
            <a:effectLst/>
            <a:sp3d/>
          </c:spPr>
          <c:invertIfNegative val="0"/>
          <c:cat>
            <c:multiLvlStrRef>
              <c:f>'Pivot Slicer'!$B$3:$B$23</c:f>
              <c:multiLvlStrCache>
                <c:ptCount val="16"/>
                <c:lvl>
                  <c:pt idx="0">
                    <c:v>Bass Headphones</c:v>
                  </c:pt>
                  <c:pt idx="1">
                    <c:v>Footwear</c:v>
                  </c:pt>
                  <c:pt idx="2">
                    <c:v>Mobile</c:v>
                  </c:pt>
                  <c:pt idx="3">
                    <c:v>Smartwatch</c:v>
                  </c:pt>
                  <c:pt idx="4">
                    <c:v>Beard trimmer</c:v>
                  </c:pt>
                  <c:pt idx="5">
                    <c:v>Deodarant</c:v>
                  </c:pt>
                  <c:pt idx="6">
                    <c:v>Mobile</c:v>
                  </c:pt>
                  <c:pt idx="7">
                    <c:v>Shaving cream</c:v>
                  </c:pt>
                  <c:pt idx="8">
                    <c:v>Wrist watch</c:v>
                  </c:pt>
                  <c:pt idx="9">
                    <c:v>Bass Headphones</c:v>
                  </c:pt>
                  <c:pt idx="10">
                    <c:v>Earbuds</c:v>
                  </c:pt>
                  <c:pt idx="11">
                    <c:v>Jackets</c:v>
                  </c:pt>
                  <c:pt idx="12">
                    <c:v>Beard trimmer</c:v>
                  </c:pt>
                  <c:pt idx="13">
                    <c:v>Earbuds</c:v>
                  </c:pt>
                  <c:pt idx="14">
                    <c:v>Mobile</c:v>
                  </c:pt>
                  <c:pt idx="15">
                    <c:v>Shaving cream</c:v>
                  </c:pt>
                </c:lvl>
                <c:lvl>
                  <c:pt idx="0">
                    <c:v>East</c:v>
                  </c:pt>
                  <c:pt idx="4">
                    <c:v>North</c:v>
                  </c:pt>
                  <c:pt idx="9">
                    <c:v>South</c:v>
                  </c:pt>
                  <c:pt idx="12">
                    <c:v>West</c:v>
                  </c:pt>
                </c:lvl>
              </c:multiLvlStrCache>
            </c:multiLvlStrRef>
          </c:cat>
          <c:val>
            <c:numRef>
              <c:f>'Pivot Slicer'!$C$3:$C$23</c:f>
              <c:numCache>
                <c:formatCode>"₹"\ #,##0.00</c:formatCode>
                <c:ptCount val="16"/>
                <c:pt idx="0">
                  <c:v>5000</c:v>
                </c:pt>
                <c:pt idx="1">
                  <c:v>6000</c:v>
                </c:pt>
                <c:pt idx="2">
                  <c:v>8000</c:v>
                </c:pt>
                <c:pt idx="3">
                  <c:v>20000</c:v>
                </c:pt>
                <c:pt idx="4">
                  <c:v>18000</c:v>
                </c:pt>
                <c:pt idx="5">
                  <c:v>45000</c:v>
                </c:pt>
                <c:pt idx="6">
                  <c:v>10000</c:v>
                </c:pt>
                <c:pt idx="7">
                  <c:v>28000</c:v>
                </c:pt>
                <c:pt idx="8">
                  <c:v>30000</c:v>
                </c:pt>
                <c:pt idx="9">
                  <c:v>30000</c:v>
                </c:pt>
                <c:pt idx="10">
                  <c:v>38000</c:v>
                </c:pt>
                <c:pt idx="11">
                  <c:v>40000</c:v>
                </c:pt>
                <c:pt idx="12">
                  <c:v>85000</c:v>
                </c:pt>
                <c:pt idx="13">
                  <c:v>42000</c:v>
                </c:pt>
                <c:pt idx="14">
                  <c:v>35000</c:v>
                </c:pt>
                <c:pt idx="15">
                  <c:v>30000</c:v>
                </c:pt>
              </c:numCache>
            </c:numRef>
          </c:val>
          <c:extLst>
            <c:ext xmlns:c16="http://schemas.microsoft.com/office/drawing/2014/chart" uri="{C3380CC4-5D6E-409C-BE32-E72D297353CC}">
              <c16:uniqueId val="{00000000-604E-4B16-AC95-E6A87A9AC9ED}"/>
            </c:ext>
          </c:extLst>
        </c:ser>
        <c:dLbls>
          <c:showLegendKey val="0"/>
          <c:showVal val="0"/>
          <c:showCatName val="0"/>
          <c:showSerName val="0"/>
          <c:showPercent val="0"/>
          <c:showBubbleSize val="0"/>
        </c:dLbls>
        <c:gapWidth val="150"/>
        <c:shape val="box"/>
        <c:axId val="1060259583"/>
        <c:axId val="1060257183"/>
        <c:axId val="0"/>
      </c:bar3DChart>
      <c:catAx>
        <c:axId val="1060259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257183"/>
        <c:crosses val="autoZero"/>
        <c:auto val="1"/>
        <c:lblAlgn val="ctr"/>
        <c:lblOffset val="100"/>
        <c:noMultiLvlLbl val="0"/>
      </c:catAx>
      <c:valAx>
        <c:axId val="10602571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25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 - Column, Clustered, Pie'!$B$2</c:f>
              <c:strCache>
                <c:ptCount val="1"/>
                <c:pt idx="0">
                  <c:v>Salary per annum</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D74-427E-AA3A-E1B8A2ED49A1}"/>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D74-427E-AA3A-E1B8A2ED49A1}"/>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D74-427E-AA3A-E1B8A2ED49A1}"/>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D74-427E-AA3A-E1B8A2ED49A1}"/>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D74-427E-AA3A-E1B8A2ED49A1}"/>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3D74-427E-AA3A-E1B8A2ED49A1}"/>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3D74-427E-AA3A-E1B8A2ED49A1}"/>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3D74-427E-AA3A-E1B8A2ED49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 - Column, Clustered, Pie'!$A$3:$A$10</c:f>
              <c:strCache>
                <c:ptCount val="8"/>
                <c:pt idx="0">
                  <c:v>Rajnish Gupta</c:v>
                </c:pt>
                <c:pt idx="1">
                  <c:v>Mayra khan</c:v>
                </c:pt>
                <c:pt idx="2">
                  <c:v>Ashish Singh</c:v>
                </c:pt>
                <c:pt idx="3">
                  <c:v>Ishan Saxena</c:v>
                </c:pt>
                <c:pt idx="4">
                  <c:v>Kritika Kumari</c:v>
                </c:pt>
                <c:pt idx="5">
                  <c:v>Pooja Gupta</c:v>
                </c:pt>
                <c:pt idx="6">
                  <c:v>Puneet Singh</c:v>
                </c:pt>
                <c:pt idx="7">
                  <c:v>Ajeet Sharma</c:v>
                </c:pt>
              </c:strCache>
            </c:strRef>
          </c:cat>
          <c:val>
            <c:numRef>
              <c:f>'Charts - Column, Clustered, Pie'!$B$3:$B$10</c:f>
              <c:numCache>
                <c:formatCode>"₹"\ #,##0</c:formatCode>
                <c:ptCount val="8"/>
                <c:pt idx="0">
                  <c:v>180000</c:v>
                </c:pt>
                <c:pt idx="1">
                  <c:v>200000</c:v>
                </c:pt>
                <c:pt idx="2">
                  <c:v>225000</c:v>
                </c:pt>
                <c:pt idx="3">
                  <c:v>250000</c:v>
                </c:pt>
                <c:pt idx="4">
                  <c:v>400000</c:v>
                </c:pt>
                <c:pt idx="5">
                  <c:v>450000</c:v>
                </c:pt>
                <c:pt idx="6">
                  <c:v>500000</c:v>
                </c:pt>
                <c:pt idx="7">
                  <c:v>600000</c:v>
                </c:pt>
              </c:numCache>
            </c:numRef>
          </c:val>
          <c:extLst>
            <c:ext xmlns:c16="http://schemas.microsoft.com/office/drawing/2014/chart" uri="{C3380CC4-5D6E-409C-BE32-E72D297353CC}">
              <c16:uniqueId val="{00000000-7B70-4037-8B0B-F4F6FB17A3AA}"/>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4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omic Sans MS" panose="030F0702030302020204" pitchFamily="66" charset="0"/>
              <a:ea typeface="+mn-ea"/>
              <a:cs typeface="+mn-cs"/>
            </a:defRPr>
          </a:pPr>
          <a:endParaRPr lang="en-US"/>
        </a:p>
      </c:txPr>
    </c:title>
    <c:autoTitleDeleted val="0"/>
    <c:plotArea>
      <c:layout/>
      <c:barChart>
        <c:barDir val="col"/>
        <c:grouping val="clustered"/>
        <c:varyColors val="0"/>
        <c:ser>
          <c:idx val="0"/>
          <c:order val="0"/>
          <c:tx>
            <c:strRef>
              <c:f>'Charts - Column, Clustered, Pie'!$B$2</c:f>
              <c:strCache>
                <c:ptCount val="1"/>
                <c:pt idx="0">
                  <c:v>Salary per annum</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bevel/>
            </a:ln>
            <a:effectLst>
              <a:glow rad="381000">
                <a:srgbClr val="FF0000">
                  <a:alpha val="40000"/>
                </a:srgbClr>
              </a:glow>
              <a:innerShdw blurRad="63500" dist="50800" dir="16200000">
                <a:schemeClr val="accent2">
                  <a:lumMod val="75000"/>
                  <a:alpha val="50000"/>
                </a:schemeClr>
              </a:innerShdw>
              <a:softEdge rad="0"/>
            </a:effectLst>
            <a:scene3d>
              <a:camera prst="orthographicFront"/>
              <a:lightRig rig="threePt" dir="t"/>
            </a:scene3d>
            <a:sp3d>
              <a:bevelT w="152400" h="50800" prst="softRound"/>
            </a:sp3d>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Comic Sans MS" panose="030F0702030302020204" pitchFamily="66"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 - Column, Clustered, Pie'!$A$3:$A$10</c:f>
              <c:strCache>
                <c:ptCount val="8"/>
                <c:pt idx="0">
                  <c:v>Rajnish Gupta</c:v>
                </c:pt>
                <c:pt idx="1">
                  <c:v>Mayra khan</c:v>
                </c:pt>
                <c:pt idx="2">
                  <c:v>Ashish Singh</c:v>
                </c:pt>
                <c:pt idx="3">
                  <c:v>Ishan Saxena</c:v>
                </c:pt>
                <c:pt idx="4">
                  <c:v>Kritika Kumari</c:v>
                </c:pt>
                <c:pt idx="5">
                  <c:v>Pooja Gupta</c:v>
                </c:pt>
                <c:pt idx="6">
                  <c:v>Puneet Singh</c:v>
                </c:pt>
                <c:pt idx="7">
                  <c:v>Ajeet Sharma</c:v>
                </c:pt>
              </c:strCache>
            </c:strRef>
          </c:cat>
          <c:val>
            <c:numRef>
              <c:f>'Charts - Column, Clustered, Pie'!$B$3:$B$10</c:f>
              <c:numCache>
                <c:formatCode>"₹"\ #,##0</c:formatCode>
                <c:ptCount val="8"/>
                <c:pt idx="0">
                  <c:v>180000</c:v>
                </c:pt>
                <c:pt idx="1">
                  <c:v>200000</c:v>
                </c:pt>
                <c:pt idx="2">
                  <c:v>225000</c:v>
                </c:pt>
                <c:pt idx="3">
                  <c:v>250000</c:v>
                </c:pt>
                <c:pt idx="4">
                  <c:v>400000</c:v>
                </c:pt>
                <c:pt idx="5">
                  <c:v>450000</c:v>
                </c:pt>
                <c:pt idx="6">
                  <c:v>500000</c:v>
                </c:pt>
                <c:pt idx="7">
                  <c:v>600000</c:v>
                </c:pt>
              </c:numCache>
            </c:numRef>
          </c:val>
          <c:extLst>
            <c:ext xmlns:c16="http://schemas.microsoft.com/office/drawing/2014/chart" uri="{C3380CC4-5D6E-409C-BE32-E72D297353CC}">
              <c16:uniqueId val="{00000000-27B3-4C72-BFD7-9E6EB92D369F}"/>
            </c:ext>
          </c:extLst>
        </c:ser>
        <c:dLbls>
          <c:showLegendKey val="0"/>
          <c:showVal val="1"/>
          <c:showCatName val="0"/>
          <c:showSerName val="0"/>
          <c:showPercent val="0"/>
          <c:showBubbleSize val="0"/>
        </c:dLbls>
        <c:gapWidth val="150"/>
        <c:overlap val="-25"/>
        <c:axId val="1939059391"/>
        <c:axId val="1939056991"/>
      </c:barChart>
      <c:catAx>
        <c:axId val="1939059391"/>
        <c:scaling>
          <c:orientation val="minMax"/>
        </c:scaling>
        <c:delete val="0"/>
        <c:axPos val="b"/>
        <c:title>
          <c:tx>
            <c:rich>
              <a:bodyPr rot="0" spcFirstLastPara="1" vertOverflow="ellipsis" vert="horz" wrap="square" anchor="ctr" anchorCtr="1"/>
              <a:lstStyle/>
              <a:p>
                <a:pPr>
                  <a:defRPr sz="1200" b="1" i="0" u="none" strike="noStrike" kern="1200" cap="all" baseline="0">
                    <a:solidFill>
                      <a:schemeClr val="lt1">
                        <a:lumMod val="85000"/>
                      </a:schemeClr>
                    </a:solidFill>
                    <a:latin typeface="Comic Sans MS" panose="030F0702030302020204" pitchFamily="66" charset="0"/>
                    <a:ea typeface="+mn-ea"/>
                    <a:cs typeface="+mn-cs"/>
                  </a:defRPr>
                </a:pPr>
                <a:r>
                  <a:rPr lang="en-IN"/>
                  <a:t>Employees</a:t>
                </a:r>
              </a:p>
            </c:rich>
          </c:tx>
          <c:overlay val="0"/>
          <c:spPr>
            <a:noFill/>
            <a:ln>
              <a:noFill/>
            </a:ln>
            <a:effectLst/>
          </c:spPr>
          <c:txPr>
            <a:bodyPr rot="0" spcFirstLastPara="1" vertOverflow="ellipsis" vert="horz" wrap="square" anchor="ctr" anchorCtr="1"/>
            <a:lstStyle/>
            <a:p>
              <a:pPr>
                <a:defRPr sz="1200" b="1" i="0" u="none" strike="noStrike" kern="1200" cap="all" baseline="0">
                  <a:solidFill>
                    <a:schemeClr val="lt1">
                      <a:lumMod val="85000"/>
                    </a:schemeClr>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Comic Sans MS" panose="030F0702030302020204" pitchFamily="66" charset="0"/>
                <a:ea typeface="+mn-ea"/>
                <a:cs typeface="+mn-cs"/>
              </a:defRPr>
            </a:pPr>
            <a:endParaRPr lang="en-US"/>
          </a:p>
        </c:txPr>
        <c:crossAx val="1939056991"/>
        <c:crosses val="autoZero"/>
        <c:auto val="1"/>
        <c:lblAlgn val="ctr"/>
        <c:lblOffset val="100"/>
        <c:noMultiLvlLbl val="0"/>
      </c:catAx>
      <c:valAx>
        <c:axId val="1939056991"/>
        <c:scaling>
          <c:orientation val="minMax"/>
        </c:scaling>
        <c:delete val="0"/>
        <c:axPos val="l"/>
        <c:title>
          <c:tx>
            <c:rich>
              <a:bodyPr rot="-5400000" spcFirstLastPara="1" vertOverflow="ellipsis" vert="horz" wrap="square" anchor="ctr" anchorCtr="1"/>
              <a:lstStyle/>
              <a:p>
                <a:pPr>
                  <a:defRPr sz="1200" b="1" i="0" u="none" strike="noStrike" kern="1200" cap="all" baseline="0">
                    <a:solidFill>
                      <a:schemeClr val="lt1">
                        <a:lumMod val="85000"/>
                      </a:schemeClr>
                    </a:solidFill>
                    <a:latin typeface="Comic Sans MS" panose="030F0702030302020204" pitchFamily="66" charset="0"/>
                    <a:ea typeface="+mn-ea"/>
                    <a:cs typeface="+mn-cs"/>
                  </a:defRPr>
                </a:pPr>
                <a:r>
                  <a:rPr lang="en-IN"/>
                  <a:t>Salaries</a:t>
                </a:r>
              </a:p>
            </c:rich>
          </c:tx>
          <c:overlay val="0"/>
          <c:spPr>
            <a:noFill/>
            <a:ln>
              <a:noFill/>
            </a:ln>
            <a:effectLst/>
          </c:spPr>
          <c:txPr>
            <a:bodyPr rot="-5400000" spcFirstLastPara="1" vertOverflow="ellipsis" vert="horz" wrap="square" anchor="ctr" anchorCtr="1"/>
            <a:lstStyle/>
            <a:p>
              <a:pPr>
                <a:defRPr sz="1200" b="1" i="0" u="none" strike="noStrike" kern="1200" cap="all" baseline="0">
                  <a:solidFill>
                    <a:schemeClr val="lt1">
                      <a:lumMod val="85000"/>
                    </a:schemeClr>
                  </a:solidFill>
                  <a:latin typeface="Comic Sans MS" panose="030F0702030302020204" pitchFamily="66" charset="0"/>
                  <a:ea typeface="+mn-ea"/>
                  <a:cs typeface="+mn-cs"/>
                </a:defRPr>
              </a:pPr>
              <a:endParaRPr lang="en-US"/>
            </a:p>
          </c:txPr>
        </c:title>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Comic Sans MS" panose="030F0702030302020204" pitchFamily="66" charset="0"/>
                <a:ea typeface="+mn-ea"/>
                <a:cs typeface="+mn-cs"/>
              </a:defRPr>
            </a:pPr>
            <a:endParaRPr lang="en-US"/>
          </a:p>
        </c:txPr>
        <c:crossAx val="19390593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Comic Sans MS" panose="030F0702030302020204" pitchFamily="66"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200" b="1" i="0" baseline="0">
          <a:latin typeface="Comic Sans MS" panose="030F0702030302020204" pitchFamily="66"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Employee Salary Details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 Column, Clustered, Pie'!$B$41</c:f>
              <c:strCache>
                <c:ptCount val="1"/>
                <c:pt idx="0">
                  <c:v>Salary per annum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innerShdw blurRad="63500" dist="50800" dir="9600000">
                  <a:schemeClr val="tx1">
                    <a:alpha val="8000"/>
                  </a:schemeClr>
                </a:innerShdw>
              </a:effectLst>
              <a:scene3d>
                <a:camera prst="orthographicFront"/>
                <a:lightRig rig="threePt" dir="t"/>
              </a:scene3d>
              <a:sp3d>
                <a:bevelT w="152400" h="50800" prst="softRound"/>
              </a:sp3d>
            </c:spPr>
            <c:extLst>
              <c:ext xmlns:c16="http://schemas.microsoft.com/office/drawing/2014/chart" uri="{C3380CC4-5D6E-409C-BE32-E72D297353CC}">
                <c16:uniqueId val="{00000002-53E2-42EB-9816-7872C34994E7}"/>
              </c:ext>
            </c:extLst>
          </c:dPt>
          <c:dLbls>
            <c:spPr>
              <a:noFill/>
              <a:ln>
                <a:noFill/>
              </a:ln>
              <a:effectLst>
                <a:glow rad="177800">
                  <a:schemeClr val="accent1">
                    <a:alpha val="40000"/>
                  </a:schemeClr>
                </a:glow>
                <a:outerShdw blurRad="76200" dist="12700" dir="8100000" sx="147000" sy="147000" kx="800400" algn="br" rotWithShape="0">
                  <a:prstClr val="black">
                    <a:alpha val="25000"/>
                  </a:prstClr>
                </a:outerShdw>
                <a:softEdge rad="279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 - Column, Clustered, Pie'!$A$42:$A$49</c:f>
              <c:strCache>
                <c:ptCount val="8"/>
                <c:pt idx="0">
                  <c:v>Aman Sharma</c:v>
                </c:pt>
                <c:pt idx="1">
                  <c:v>Ishan Saxena</c:v>
                </c:pt>
                <c:pt idx="2">
                  <c:v>Kritika Kumari</c:v>
                </c:pt>
                <c:pt idx="3">
                  <c:v>Mayra khan</c:v>
                </c:pt>
                <c:pt idx="4">
                  <c:v>Puneet Singh</c:v>
                </c:pt>
                <c:pt idx="5">
                  <c:v>Rajnish Gupta</c:v>
                </c:pt>
                <c:pt idx="6">
                  <c:v>Pooja Gupta</c:v>
                </c:pt>
                <c:pt idx="7">
                  <c:v>Ashish Singh</c:v>
                </c:pt>
              </c:strCache>
            </c:strRef>
          </c:cat>
          <c:val>
            <c:numRef>
              <c:f>'Charts - Column, Clustered, Pie'!$B$42:$B$49</c:f>
              <c:numCache>
                <c:formatCode>"₹"\ #,##0</c:formatCode>
                <c:ptCount val="8"/>
                <c:pt idx="0">
                  <c:v>600000</c:v>
                </c:pt>
                <c:pt idx="1">
                  <c:v>250000</c:v>
                </c:pt>
                <c:pt idx="2">
                  <c:v>400000</c:v>
                </c:pt>
                <c:pt idx="3">
                  <c:v>200000</c:v>
                </c:pt>
                <c:pt idx="4">
                  <c:v>500000</c:v>
                </c:pt>
                <c:pt idx="5">
                  <c:v>180000</c:v>
                </c:pt>
                <c:pt idx="6">
                  <c:v>450000</c:v>
                </c:pt>
                <c:pt idx="7">
                  <c:v>225000</c:v>
                </c:pt>
              </c:numCache>
            </c:numRef>
          </c:val>
          <c:extLst>
            <c:ext xmlns:c16="http://schemas.microsoft.com/office/drawing/2014/chart" uri="{C3380CC4-5D6E-409C-BE32-E72D297353CC}">
              <c16:uniqueId val="{00000000-53E2-42EB-9816-7872C34994E7}"/>
            </c:ext>
          </c:extLst>
        </c:ser>
        <c:ser>
          <c:idx val="1"/>
          <c:order val="1"/>
          <c:tx>
            <c:strRef>
              <c:f>'Charts - Column, Clustered, Pie'!$C$41</c:f>
              <c:strCache>
                <c:ptCount val="1"/>
                <c:pt idx="0">
                  <c:v>Previous salaries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 - Column, Clustered, Pie'!$A$42:$A$49</c:f>
              <c:strCache>
                <c:ptCount val="8"/>
                <c:pt idx="0">
                  <c:v>Aman Sharma</c:v>
                </c:pt>
                <c:pt idx="1">
                  <c:v>Ishan Saxena</c:v>
                </c:pt>
                <c:pt idx="2">
                  <c:v>Kritika Kumari</c:v>
                </c:pt>
                <c:pt idx="3">
                  <c:v>Mayra khan</c:v>
                </c:pt>
                <c:pt idx="4">
                  <c:v>Puneet Singh</c:v>
                </c:pt>
                <c:pt idx="5">
                  <c:v>Rajnish Gupta</c:v>
                </c:pt>
                <c:pt idx="6">
                  <c:v>Pooja Gupta</c:v>
                </c:pt>
                <c:pt idx="7">
                  <c:v>Ashish Singh</c:v>
                </c:pt>
              </c:strCache>
            </c:strRef>
          </c:cat>
          <c:val>
            <c:numRef>
              <c:f>'Charts - Column, Clustered, Pie'!$C$42:$C$49</c:f>
              <c:numCache>
                <c:formatCode>General</c:formatCode>
                <c:ptCount val="8"/>
                <c:pt idx="0">
                  <c:v>300000</c:v>
                </c:pt>
                <c:pt idx="1">
                  <c:v>100000</c:v>
                </c:pt>
                <c:pt idx="2">
                  <c:v>500000</c:v>
                </c:pt>
                <c:pt idx="3">
                  <c:v>600000</c:v>
                </c:pt>
                <c:pt idx="4">
                  <c:v>800000</c:v>
                </c:pt>
                <c:pt idx="5">
                  <c:v>70000</c:v>
                </c:pt>
                <c:pt idx="6">
                  <c:v>800000</c:v>
                </c:pt>
                <c:pt idx="7">
                  <c:v>400000</c:v>
                </c:pt>
              </c:numCache>
            </c:numRef>
          </c:val>
          <c:extLst>
            <c:ext xmlns:c16="http://schemas.microsoft.com/office/drawing/2014/chart" uri="{C3380CC4-5D6E-409C-BE32-E72D297353CC}">
              <c16:uniqueId val="{00000001-53E2-42EB-9816-7872C34994E7}"/>
            </c:ext>
          </c:extLst>
        </c:ser>
        <c:dLbls>
          <c:showLegendKey val="0"/>
          <c:showVal val="1"/>
          <c:showCatName val="0"/>
          <c:showSerName val="0"/>
          <c:showPercent val="0"/>
          <c:showBubbleSize val="0"/>
        </c:dLbls>
        <c:gapWidth val="120"/>
        <c:gapDepth val="201"/>
        <c:shape val="box"/>
        <c:axId val="113225775"/>
        <c:axId val="113240655"/>
        <c:axId val="0"/>
      </c:bar3DChart>
      <c:catAx>
        <c:axId val="113225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240655"/>
        <c:crosses val="autoZero"/>
        <c:auto val="1"/>
        <c:lblAlgn val="ctr"/>
        <c:lblOffset val="100"/>
        <c:noMultiLvlLbl val="0"/>
      </c:catAx>
      <c:valAx>
        <c:axId val="113240655"/>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225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txPr>
        <a:bodyPr rot="0" spcFirstLastPara="1" vertOverflow="ellipsis" vert="horz" wrap="square" anchor="ctr" anchorCtr="1"/>
        <a:lstStyle/>
        <a:p>
          <a:pPr>
            <a:defRPr sz="1200" b="1" i="0" u="none" strike="noStrike" kern="1200" cap="none" baseline="0">
              <a:solidFill>
                <a:schemeClr val="lt1">
                  <a:lumMod val="85000"/>
                </a:schemeClr>
              </a:solidFill>
              <a:latin typeface="Comic Sans MS" panose="030F0702030302020204" pitchFamily="66" charset="0"/>
              <a:ea typeface="+mn-ea"/>
              <a:cs typeface="+mn-cs"/>
            </a:defRPr>
          </a:pPr>
          <a:endParaRPr lang="en-US"/>
        </a:p>
      </c:txPr>
    </c:title>
    <c:autoTitleDeleted val="0"/>
    <c:plotArea>
      <c:layout>
        <c:manualLayout>
          <c:layoutTarget val="inner"/>
          <c:xMode val="edge"/>
          <c:yMode val="edge"/>
          <c:x val="8.1352513628104181E-2"/>
          <c:y val="0.14846560846560847"/>
          <c:w val="0.89403210175651115"/>
          <c:h val="0.7358961440109375"/>
        </c:manualLayout>
      </c:layout>
      <c:lineChart>
        <c:grouping val="standard"/>
        <c:varyColors val="0"/>
        <c:ser>
          <c:idx val="0"/>
          <c:order val="0"/>
          <c:tx>
            <c:strRef>
              <c:f>'Charts - Line, Clustered bar'!$C$2</c:f>
              <c:strCache>
                <c:ptCount val="1"/>
                <c:pt idx="0">
                  <c:v>Selling Price</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Pt>
            <c:idx val="3"/>
            <c:marker>
              <c:symbol val="triangle"/>
              <c:size val="6"/>
              <c:spPr>
                <a:solidFill>
                  <a:schemeClr val="accent4">
                    <a:lumMod val="60000"/>
                    <a:lumOff val="40000"/>
                  </a:schemeClr>
                </a:solidFill>
                <a:ln>
                  <a:noFill/>
                </a:ln>
                <a:effectLst>
                  <a:glow rad="63500">
                    <a:schemeClr val="accent4">
                      <a:satMod val="175000"/>
                      <a:alpha val="25000"/>
                    </a:schemeClr>
                  </a:glow>
                </a:effectLst>
              </c:spPr>
            </c:marker>
            <c:bubble3D val="0"/>
            <c:extLst>
              <c:ext xmlns:c16="http://schemas.microsoft.com/office/drawing/2014/chart" uri="{C3380CC4-5D6E-409C-BE32-E72D297353CC}">
                <c16:uniqueId val="{00000000-80F1-4FDC-B595-6DB6A4DFEF4E}"/>
              </c:ext>
            </c:extLst>
          </c:dPt>
          <c:dLbls>
            <c:numFmt formatCode="#,##0" sourceLinked="0"/>
            <c:spPr>
              <a:noFill/>
              <a:ln>
                <a:noFill/>
              </a:ln>
              <a:effectLst/>
            </c:spPr>
            <c:txPr>
              <a:bodyPr rot="0" spcFirstLastPara="1" vertOverflow="clip" horzOverflow="clip" vert="horz" wrap="square" anchor="ctr" anchorCtr="0">
                <a:spAutoFit/>
              </a:bodyPr>
              <a:lstStyle/>
              <a:p>
                <a:pPr>
                  <a:defRPr sz="900" b="1" i="0" u="none" strike="noStrike" kern="1200" baseline="0">
                    <a:solidFill>
                      <a:schemeClr val="lt1">
                        <a:lumMod val="75000"/>
                        <a:alpha val="68000"/>
                      </a:schemeClr>
                    </a:solidFill>
                    <a:latin typeface="Comic Sans MS" panose="030F0702030302020204" pitchFamily="66" charset="0"/>
                    <a:ea typeface="+mn-ea"/>
                    <a:cs typeface="+mn-cs"/>
                  </a:defRPr>
                </a:pPr>
                <a:endParaRPr lang="en-US"/>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numRef>
              <c:f>'Charts - Line, Clustered bar'!$B$3:$B$20</c:f>
              <c:numCache>
                <c:formatCode>0</c:formatCode>
                <c:ptCount val="1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numCache>
            </c:numRef>
          </c:cat>
          <c:val>
            <c:numRef>
              <c:f>'Charts - Line, Clustered bar'!$C$3:$C$20</c:f>
              <c:numCache>
                <c:formatCode>"₹"\ #,##0.00</c:formatCode>
                <c:ptCount val="18"/>
                <c:pt idx="0">
                  <c:v>5000</c:v>
                </c:pt>
                <c:pt idx="1">
                  <c:v>6000</c:v>
                </c:pt>
                <c:pt idx="2">
                  <c:v>8000</c:v>
                </c:pt>
                <c:pt idx="3">
                  <c:v>10000</c:v>
                </c:pt>
                <c:pt idx="4">
                  <c:v>20000</c:v>
                </c:pt>
                <c:pt idx="5">
                  <c:v>18000</c:v>
                </c:pt>
                <c:pt idx="6">
                  <c:v>20000</c:v>
                </c:pt>
                <c:pt idx="7">
                  <c:v>25000</c:v>
                </c:pt>
                <c:pt idx="8">
                  <c:v>28000</c:v>
                </c:pt>
                <c:pt idx="9">
                  <c:v>30000</c:v>
                </c:pt>
                <c:pt idx="10">
                  <c:v>30000</c:v>
                </c:pt>
                <c:pt idx="11">
                  <c:v>38000</c:v>
                </c:pt>
                <c:pt idx="12">
                  <c:v>40000</c:v>
                </c:pt>
                <c:pt idx="13">
                  <c:v>30000</c:v>
                </c:pt>
                <c:pt idx="14">
                  <c:v>55000</c:v>
                </c:pt>
                <c:pt idx="15">
                  <c:v>42000</c:v>
                </c:pt>
                <c:pt idx="16">
                  <c:v>35000</c:v>
                </c:pt>
                <c:pt idx="17">
                  <c:v>30000</c:v>
                </c:pt>
              </c:numCache>
            </c:numRef>
          </c:val>
          <c:smooth val="0"/>
          <c:extLst>
            <c:ext xmlns:c16="http://schemas.microsoft.com/office/drawing/2014/chart" uri="{C3380CC4-5D6E-409C-BE32-E72D297353CC}">
              <c16:uniqueId val="{00000000-5ECA-472D-9D6A-74AB8801D150}"/>
            </c:ext>
          </c:extLst>
        </c:ser>
        <c:dLbls>
          <c:dLblPos val="t"/>
          <c:showLegendKey val="0"/>
          <c:showVal val="1"/>
          <c:showCatName val="0"/>
          <c:showSerName val="0"/>
          <c:showPercent val="0"/>
          <c:showBubbleSize val="0"/>
        </c:dLbls>
        <c:marker val="1"/>
        <c:smooth val="0"/>
        <c:axId val="1136459311"/>
        <c:axId val="1136464111"/>
      </c:lineChart>
      <c:catAx>
        <c:axId val="11364593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r>
                  <a:rPr lang="en-IN" sz="1100">
                    <a:solidFill>
                      <a:schemeClr val="lt1"/>
                    </a:solidFill>
                    <a:latin typeface="+mn-lt"/>
                    <a:ea typeface="+mn-ea"/>
                    <a:cs typeface="+mn-cs"/>
                  </a:rPr>
                  <a:t>Years</a:t>
                </a:r>
                <a:endParaRPr lang="en-IN" sz="1100"/>
              </a:p>
            </c:rich>
          </c:tx>
          <c:overlay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IN"/>
            </a:p>
          </c:txPr>
        </c:title>
        <c:numFmt formatCode="0" sourceLinked="1"/>
        <c:majorTickMark val="none"/>
        <c:minorTickMark val="none"/>
        <c:tickLblPos val="nextTo"/>
        <c:spPr>
          <a:noFill/>
          <a:ln cap="sq" cmpd="dbl">
            <a:solidFill>
              <a:schemeClr val="bg1"/>
            </a:solidFill>
            <a:bevel/>
          </a:ln>
          <a:effectLst>
            <a:softEdge rad="0"/>
          </a:effectLst>
        </c:spPr>
        <c:txPr>
          <a:bodyPr rot="-60000000" spcFirstLastPara="1" vertOverflow="ellipsis" vert="horz" wrap="square" anchor="ctr" anchorCtr="1"/>
          <a:lstStyle/>
          <a:p>
            <a:pPr>
              <a:defRPr sz="1000" b="1" i="0" u="none" strike="noStrike" kern="1200" baseline="0">
                <a:ln>
                  <a:noFill/>
                </a:ln>
                <a:solidFill>
                  <a:schemeClr val="bg1"/>
                </a:solidFill>
                <a:latin typeface="Comic Sans MS" panose="030F0702030302020204" pitchFamily="66" charset="0"/>
                <a:ea typeface="+mn-ea"/>
                <a:cs typeface="+mn-cs"/>
              </a:defRPr>
            </a:pPr>
            <a:endParaRPr lang="en-US"/>
          </a:p>
        </c:txPr>
        <c:crossAx val="1136464111"/>
        <c:crossesAt val="0"/>
        <c:auto val="1"/>
        <c:lblAlgn val="ctr"/>
        <c:lblOffset val="50"/>
        <c:noMultiLvlLbl val="0"/>
      </c:catAx>
      <c:valAx>
        <c:axId val="11364641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1000" b="1" i="0" u="none" strike="noStrike" kern="1200" baseline="0">
                    <a:solidFill>
                      <a:schemeClr val="lt1"/>
                    </a:solidFill>
                    <a:latin typeface="+mn-lt"/>
                    <a:ea typeface="+mn-ea"/>
                    <a:cs typeface="+mn-cs"/>
                  </a:defRPr>
                </a:pPr>
                <a:r>
                  <a:rPr lang="en-IN">
                    <a:solidFill>
                      <a:schemeClr val="lt1"/>
                    </a:solidFill>
                    <a:latin typeface="+mn-lt"/>
                    <a:ea typeface="+mn-ea"/>
                    <a:cs typeface="+mn-cs"/>
                  </a:rPr>
                  <a:t>Selling Prices</a:t>
                </a:r>
                <a:endParaRPr lang="en-IN"/>
              </a:p>
            </c:rich>
          </c:tx>
          <c:overlay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txPr>
            <a:bodyPr rot="-540000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IN"/>
            </a:p>
          </c:txPr>
        </c:title>
        <c:numFmt formatCode="#,##0" sourceLinked="0"/>
        <c:majorTickMark val="out"/>
        <c:minorTickMark val="in"/>
        <c:tickLblPos val="nextTo"/>
        <c:spPr>
          <a:noFill/>
          <a:ln>
            <a:solidFill>
              <a:schemeClr val="bg1"/>
            </a:solidFill>
          </a:ln>
          <a:effectLst/>
        </c:spPr>
        <c:txPr>
          <a:bodyPr rot="-60000000" spcFirstLastPara="1" vertOverflow="ellipsis" vert="horz" wrap="square" anchor="ctr" anchorCtr="1"/>
          <a:lstStyle/>
          <a:p>
            <a:pPr>
              <a:defRPr sz="1000" b="1" i="0" u="none" strike="noStrike" kern="1200" baseline="0">
                <a:solidFill>
                  <a:schemeClr val="bg1"/>
                </a:solidFill>
                <a:latin typeface="Comic Sans MS" panose="030F0702030302020204" pitchFamily="66" charset="0"/>
                <a:ea typeface="+mn-ea"/>
                <a:cs typeface="+mn-cs"/>
              </a:defRPr>
            </a:pPr>
            <a:endParaRPr lang="en-US"/>
          </a:p>
        </c:txPr>
        <c:crossAx val="1136459311"/>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sz="1000" b="1" i="0" baseline="0">
          <a:latin typeface="Comic Sans MS" panose="030F0702030302020204" pitchFamily="66"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8.1352513628104181E-2"/>
          <c:y val="0.14846560846560847"/>
          <c:w val="0.89403210175651115"/>
          <c:h val="0.7358961440109375"/>
        </c:manualLayout>
      </c:layout>
      <c:barChart>
        <c:barDir val="col"/>
        <c:grouping val="clustered"/>
        <c:varyColors val="0"/>
        <c:ser>
          <c:idx val="1"/>
          <c:order val="0"/>
          <c:tx>
            <c:strRef>
              <c:f>'Charts - Line, Clustered bar'!$C$2</c:f>
              <c:strCache>
                <c:ptCount val="1"/>
                <c:pt idx="0">
                  <c:v>Selling Price</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3"/>
            <c:invertIfNegative val="0"/>
            <c:bubble3D val="0"/>
            <c:extLst>
              <c:ext xmlns:c16="http://schemas.microsoft.com/office/drawing/2014/chart" uri="{C3380CC4-5D6E-409C-BE32-E72D297353CC}">
                <c16:uniqueId val="{00000037-DCCA-4A28-A979-C6C6831A52A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'Charts - Line, Clustered bar'!$B$53:$B$70</c:f>
              <c:numCache>
                <c:formatCode>0</c:formatCode>
                <c:ptCount val="1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numCache>
            </c:numRef>
          </c:cat>
          <c:val>
            <c:numRef>
              <c:f>'Charts - Line, Clustered bar'!$C$3:$C$20</c:f>
              <c:numCache>
                <c:formatCode>"₹"\ #,##0.00</c:formatCode>
                <c:ptCount val="18"/>
                <c:pt idx="0">
                  <c:v>5000</c:v>
                </c:pt>
                <c:pt idx="1">
                  <c:v>6000</c:v>
                </c:pt>
                <c:pt idx="2">
                  <c:v>8000</c:v>
                </c:pt>
                <c:pt idx="3">
                  <c:v>10000</c:v>
                </c:pt>
                <c:pt idx="4">
                  <c:v>20000</c:v>
                </c:pt>
                <c:pt idx="5">
                  <c:v>18000</c:v>
                </c:pt>
                <c:pt idx="6">
                  <c:v>20000</c:v>
                </c:pt>
                <c:pt idx="7">
                  <c:v>25000</c:v>
                </c:pt>
                <c:pt idx="8">
                  <c:v>28000</c:v>
                </c:pt>
                <c:pt idx="9">
                  <c:v>30000</c:v>
                </c:pt>
                <c:pt idx="10">
                  <c:v>30000</c:v>
                </c:pt>
                <c:pt idx="11">
                  <c:v>38000</c:v>
                </c:pt>
                <c:pt idx="12">
                  <c:v>40000</c:v>
                </c:pt>
                <c:pt idx="13">
                  <c:v>30000</c:v>
                </c:pt>
                <c:pt idx="14">
                  <c:v>55000</c:v>
                </c:pt>
                <c:pt idx="15">
                  <c:v>42000</c:v>
                </c:pt>
                <c:pt idx="16">
                  <c:v>35000</c:v>
                </c:pt>
                <c:pt idx="17">
                  <c:v>30000</c:v>
                </c:pt>
              </c:numCache>
            </c:numRef>
          </c:val>
          <c:extLst>
            <c:ext xmlns:c16="http://schemas.microsoft.com/office/drawing/2014/chart" uri="{C3380CC4-5D6E-409C-BE32-E72D297353CC}">
              <c16:uniqueId val="{00000013-DCCA-4A28-A979-C6C6831A52A7}"/>
            </c:ext>
          </c:extLst>
        </c:ser>
        <c:dLbls>
          <c:showLegendKey val="0"/>
          <c:showVal val="1"/>
          <c:showCatName val="0"/>
          <c:showSerName val="0"/>
          <c:showPercent val="0"/>
          <c:showBubbleSize val="0"/>
        </c:dLbls>
        <c:gapWidth val="115"/>
        <c:axId val="1136459311"/>
        <c:axId val="1136464111"/>
      </c:barChart>
      <c:catAx>
        <c:axId val="113645931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6464111"/>
        <c:crossesAt val="0"/>
        <c:auto val="1"/>
        <c:lblAlgn val="ctr"/>
        <c:lblOffset val="50"/>
        <c:noMultiLvlLbl val="0"/>
      </c:catAx>
      <c:valAx>
        <c:axId val="113646411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Selling Prices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6459311"/>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a:t>
            </a:r>
            <a:r>
              <a:rPr lang="en-IN" baseline="0"/>
              <a:t> DATA</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2012</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extLst>
                <c:ext xmlns:c15="http://schemas.microsoft.com/office/drawing/2012/chart" uri="{02D57815-91ED-43cb-92C2-25804820EDAC}">
                  <c15:fullRef>
                    <c15:sqref>'Clean sales data'!$B$6:$B$13</c15:sqref>
                  </c15:fullRef>
                </c:ext>
              </c:extLst>
              <c:f>'Clean sales data'!$B$7:$B$13</c:f>
              <c:strCache>
                <c:ptCount val="7"/>
                <c:pt idx="0">
                  <c:v>Antiques</c:v>
                </c:pt>
                <c:pt idx="1">
                  <c:v>Bottles</c:v>
                </c:pt>
                <c:pt idx="2">
                  <c:v>Cars</c:v>
                </c:pt>
                <c:pt idx="3">
                  <c:v>Fish Aquarium</c:v>
                </c:pt>
                <c:pt idx="4">
                  <c:v>Drones</c:v>
                </c:pt>
                <c:pt idx="5">
                  <c:v>Exquisite jewellery</c:v>
                </c:pt>
                <c:pt idx="6">
                  <c:v>Horses</c:v>
                </c:pt>
              </c:strCache>
            </c:strRef>
          </c:cat>
          <c:val>
            <c:numRef>
              <c:extLst>
                <c:ext xmlns:c15="http://schemas.microsoft.com/office/drawing/2012/chart" uri="{02D57815-91ED-43cb-92C2-25804820EDAC}">
                  <c15:fullRef>
                    <c15:sqref>'Clean sales data'!$C$6:$C$13</c15:sqref>
                  </c15:fullRef>
                </c:ext>
              </c:extLst>
              <c:f>'Clean sales data'!$C$7:$C$13</c:f>
              <c:numCache>
                <c:formatCode>General</c:formatCode>
                <c:ptCount val="7"/>
                <c:pt idx="0">
                  <c:v>432521</c:v>
                </c:pt>
                <c:pt idx="1">
                  <c:v>44244</c:v>
                </c:pt>
                <c:pt idx="2">
                  <c:v>433796</c:v>
                </c:pt>
                <c:pt idx="3">
                  <c:v>50000</c:v>
                </c:pt>
                <c:pt idx="4">
                  <c:v>539770</c:v>
                </c:pt>
                <c:pt idx="5">
                  <c:v>597406</c:v>
                </c:pt>
                <c:pt idx="6">
                  <c:v>65000</c:v>
                </c:pt>
              </c:numCache>
            </c:numRef>
          </c:val>
          <c:extLst>
            <c:ext xmlns:c16="http://schemas.microsoft.com/office/drawing/2014/chart" uri="{C3380CC4-5D6E-409C-BE32-E72D297353CC}">
              <c16:uniqueId val="{00000000-B424-48F3-AFD2-0E2D27B3D68A}"/>
            </c:ext>
          </c:extLst>
        </c:ser>
        <c:ser>
          <c:idx val="1"/>
          <c:order val="1"/>
          <c:tx>
            <c:v>2013</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extLst>
                <c:ext xmlns:c15="http://schemas.microsoft.com/office/drawing/2012/chart" uri="{02D57815-91ED-43cb-92C2-25804820EDAC}">
                  <c15:fullRef>
                    <c15:sqref>'Clean sales data'!$B$6:$B$13</c15:sqref>
                  </c15:fullRef>
                </c:ext>
              </c:extLst>
              <c:f>'Clean sales data'!$B$7:$B$13</c:f>
              <c:strCache>
                <c:ptCount val="7"/>
                <c:pt idx="0">
                  <c:v>Antiques</c:v>
                </c:pt>
                <c:pt idx="1">
                  <c:v>Bottles</c:v>
                </c:pt>
                <c:pt idx="2">
                  <c:v>Cars</c:v>
                </c:pt>
                <c:pt idx="3">
                  <c:v>Fish Aquarium</c:v>
                </c:pt>
                <c:pt idx="4">
                  <c:v>Drones</c:v>
                </c:pt>
                <c:pt idx="5">
                  <c:v>Exquisite jewellery</c:v>
                </c:pt>
                <c:pt idx="6">
                  <c:v>Horses</c:v>
                </c:pt>
              </c:strCache>
            </c:strRef>
          </c:cat>
          <c:val>
            <c:numRef>
              <c:extLst>
                <c:ext xmlns:c15="http://schemas.microsoft.com/office/drawing/2012/chart" uri="{02D57815-91ED-43cb-92C2-25804820EDAC}">
                  <c15:fullRef>
                    <c15:sqref>'Clean sales data'!$D$6:$D$13</c15:sqref>
                  </c15:fullRef>
                </c:ext>
              </c:extLst>
              <c:f>'Clean sales data'!$D$7:$D$13</c:f>
              <c:numCache>
                <c:formatCode>General</c:formatCode>
                <c:ptCount val="7"/>
                <c:pt idx="0">
                  <c:v>227724</c:v>
                </c:pt>
                <c:pt idx="1">
                  <c:v>310416</c:v>
                </c:pt>
                <c:pt idx="2">
                  <c:v>191447</c:v>
                </c:pt>
                <c:pt idx="3">
                  <c:v>60000</c:v>
                </c:pt>
                <c:pt idx="4">
                  <c:v>125314</c:v>
                </c:pt>
                <c:pt idx="5">
                  <c:v>144037</c:v>
                </c:pt>
                <c:pt idx="6">
                  <c:v>123456</c:v>
                </c:pt>
              </c:numCache>
            </c:numRef>
          </c:val>
          <c:extLst>
            <c:ext xmlns:c16="http://schemas.microsoft.com/office/drawing/2014/chart" uri="{C3380CC4-5D6E-409C-BE32-E72D297353CC}">
              <c16:uniqueId val="{00000001-B424-48F3-AFD2-0E2D27B3D68A}"/>
            </c:ext>
          </c:extLst>
        </c:ser>
        <c:ser>
          <c:idx val="2"/>
          <c:order val="2"/>
          <c:tx>
            <c:v>2015</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invertIfNegative val="0"/>
          <c:cat>
            <c:strRef>
              <c:extLst>
                <c:ext xmlns:c15="http://schemas.microsoft.com/office/drawing/2012/chart" uri="{02D57815-91ED-43cb-92C2-25804820EDAC}">
                  <c15:fullRef>
                    <c15:sqref>'Clean sales data'!$B$6:$B$13</c15:sqref>
                  </c15:fullRef>
                </c:ext>
              </c:extLst>
              <c:f>'Clean sales data'!$B$7:$B$13</c:f>
              <c:strCache>
                <c:ptCount val="7"/>
                <c:pt idx="0">
                  <c:v>Antiques</c:v>
                </c:pt>
                <c:pt idx="1">
                  <c:v>Bottles</c:v>
                </c:pt>
                <c:pt idx="2">
                  <c:v>Cars</c:v>
                </c:pt>
                <c:pt idx="3">
                  <c:v>Fish Aquarium</c:v>
                </c:pt>
                <c:pt idx="4">
                  <c:v>Drones</c:v>
                </c:pt>
                <c:pt idx="5">
                  <c:v>Exquisite jewellery</c:v>
                </c:pt>
                <c:pt idx="6">
                  <c:v>Horses</c:v>
                </c:pt>
              </c:strCache>
            </c:strRef>
          </c:cat>
          <c:val>
            <c:numRef>
              <c:extLst>
                <c:ext xmlns:c15="http://schemas.microsoft.com/office/drawing/2012/chart" uri="{02D57815-91ED-43cb-92C2-25804820EDAC}">
                  <c15:fullRef>
                    <c15:sqref>'Clean sales data'!$F$6:$F$13</c15:sqref>
                  </c15:fullRef>
                </c:ext>
              </c:extLst>
              <c:f>'Clean sales data'!$F$7:$F$13</c:f>
              <c:numCache>
                <c:formatCode>General</c:formatCode>
                <c:ptCount val="7"/>
                <c:pt idx="0">
                  <c:v>182911</c:v>
                </c:pt>
                <c:pt idx="1">
                  <c:v>92490</c:v>
                </c:pt>
                <c:pt idx="2">
                  <c:v>484888</c:v>
                </c:pt>
                <c:pt idx="3">
                  <c:v>75120</c:v>
                </c:pt>
                <c:pt idx="4">
                  <c:v>419229</c:v>
                </c:pt>
                <c:pt idx="5">
                  <c:v>238034</c:v>
                </c:pt>
                <c:pt idx="6">
                  <c:v>40000</c:v>
                </c:pt>
              </c:numCache>
            </c:numRef>
          </c:val>
          <c:extLst>
            <c:ext xmlns:c16="http://schemas.microsoft.com/office/drawing/2014/chart" uri="{C3380CC4-5D6E-409C-BE32-E72D297353CC}">
              <c16:uniqueId val="{00000002-B424-48F3-AFD2-0E2D27B3D68A}"/>
            </c:ext>
          </c:extLst>
        </c:ser>
        <c:ser>
          <c:idx val="3"/>
          <c:order val="3"/>
          <c:tx>
            <c:v>2016</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invertIfNegative val="0"/>
          <c:cat>
            <c:strRef>
              <c:extLst>
                <c:ext xmlns:c15="http://schemas.microsoft.com/office/drawing/2012/chart" uri="{02D57815-91ED-43cb-92C2-25804820EDAC}">
                  <c15:fullRef>
                    <c15:sqref>'Clean sales data'!$B$6:$B$13</c15:sqref>
                  </c15:fullRef>
                </c:ext>
              </c:extLst>
              <c:f>'Clean sales data'!$B$7:$B$13</c:f>
              <c:strCache>
                <c:ptCount val="7"/>
                <c:pt idx="0">
                  <c:v>Antiques</c:v>
                </c:pt>
                <c:pt idx="1">
                  <c:v>Bottles</c:v>
                </c:pt>
                <c:pt idx="2">
                  <c:v>Cars</c:v>
                </c:pt>
                <c:pt idx="3">
                  <c:v>Fish Aquarium</c:v>
                </c:pt>
                <c:pt idx="4">
                  <c:v>Drones</c:v>
                </c:pt>
                <c:pt idx="5">
                  <c:v>Exquisite jewellery</c:v>
                </c:pt>
                <c:pt idx="6">
                  <c:v>Horses</c:v>
                </c:pt>
              </c:strCache>
            </c:strRef>
          </c:cat>
          <c:val>
            <c:numRef>
              <c:extLst>
                <c:ext xmlns:c15="http://schemas.microsoft.com/office/drawing/2012/chart" uri="{02D57815-91ED-43cb-92C2-25804820EDAC}">
                  <c15:fullRef>
                    <c15:sqref>'Clean sales data'!$G$6:$G$13</c15:sqref>
                  </c15:fullRef>
                </c:ext>
              </c:extLst>
              <c:f>'Clean sales data'!$G$7:$G$13</c:f>
              <c:numCache>
                <c:formatCode>General</c:formatCode>
                <c:ptCount val="7"/>
                <c:pt idx="0">
                  <c:v>182000</c:v>
                </c:pt>
                <c:pt idx="1">
                  <c:v>921000</c:v>
                </c:pt>
                <c:pt idx="2">
                  <c:v>484000</c:v>
                </c:pt>
                <c:pt idx="3">
                  <c:v>87494</c:v>
                </c:pt>
                <c:pt idx="4">
                  <c:v>419000</c:v>
                </c:pt>
                <c:pt idx="5">
                  <c:v>238000</c:v>
                </c:pt>
                <c:pt idx="6">
                  <c:v>380000</c:v>
                </c:pt>
              </c:numCache>
            </c:numRef>
          </c:val>
          <c:extLst>
            <c:ext xmlns:c16="http://schemas.microsoft.com/office/drawing/2014/chart" uri="{C3380CC4-5D6E-409C-BE32-E72D297353CC}">
              <c16:uniqueId val="{00000003-B424-48F3-AFD2-0E2D27B3D68A}"/>
            </c:ext>
          </c:extLst>
        </c:ser>
        <c:dLbls>
          <c:showLegendKey val="0"/>
          <c:showVal val="0"/>
          <c:showCatName val="0"/>
          <c:showSerName val="0"/>
          <c:showPercent val="0"/>
          <c:showBubbleSize val="0"/>
        </c:dLbls>
        <c:gapWidth val="150"/>
        <c:shape val="box"/>
        <c:axId val="474669328"/>
        <c:axId val="474674608"/>
        <c:axId val="0"/>
      </c:bar3DChart>
      <c:catAx>
        <c:axId val="4746693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4674608"/>
        <c:crosses val="autoZero"/>
        <c:auto val="1"/>
        <c:lblAlgn val="ctr"/>
        <c:lblOffset val="100"/>
        <c:noMultiLvlLbl val="0"/>
      </c:catAx>
      <c:valAx>
        <c:axId val="47467460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4669328"/>
        <c:crosses val="autoZero"/>
        <c:crossBetween val="between"/>
      </c:valAx>
      <c:spPr>
        <a:noFill/>
        <a:ln>
          <a:noFill/>
        </a:ln>
        <a:effectLst/>
      </c:spPr>
    </c:plotArea>
    <c:legend>
      <c:legendPos val="b"/>
      <c:layout>
        <c:manualLayout>
          <c:xMode val="edge"/>
          <c:yMode val="edge"/>
          <c:x val="0.40902466201158821"/>
          <c:y val="0.94742953859739498"/>
          <c:w val="0.18195056985801303"/>
          <c:h val="5.2570461402605045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1" u="none" strike="noStrike" kern="1200" baseline="0">
                <a:solidFill>
                  <a:schemeClr val="bg1"/>
                </a:solidFill>
                <a:latin typeface="Comic Sans MS" panose="030F0702030302020204" pitchFamily="66" charset="0"/>
                <a:ea typeface="+mn-ea"/>
                <a:cs typeface="+mn-cs"/>
              </a:defRPr>
            </a:pPr>
            <a:r>
              <a:rPr lang="en-IN" sz="1400" b="1">
                <a:solidFill>
                  <a:sysClr val="windowText" lastClr="000000"/>
                </a:solidFill>
              </a:rPr>
              <a:t>%age contribution in 2012</a:t>
            </a:r>
          </a:p>
        </c:rich>
      </c:tx>
      <c:overlay val="0"/>
      <c:spPr>
        <a:noFill/>
        <a:ln>
          <a:noFill/>
        </a:ln>
        <a:effectLst/>
      </c:spPr>
      <c:txPr>
        <a:bodyPr rot="0" spcFirstLastPara="1" vertOverflow="ellipsis" vert="horz" wrap="square" anchor="ctr" anchorCtr="1"/>
        <a:lstStyle/>
        <a:p>
          <a:pPr>
            <a:defRPr sz="1320" b="0" i="1" u="none" strike="noStrike" kern="1200" baseline="0">
              <a:solidFill>
                <a:schemeClr val="bg1"/>
              </a:solidFill>
              <a:latin typeface="Comic Sans MS" panose="030F0702030302020204" pitchFamily="66" charset="0"/>
              <a:ea typeface="+mn-ea"/>
              <a:cs typeface="+mn-cs"/>
            </a:defRPr>
          </a:pPr>
          <a:endParaRPr lang="en-US"/>
        </a:p>
      </c:txPr>
    </c:title>
    <c:autoTitleDeleted val="0"/>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7282010997643361E-2"/>
          <c:y val="0.12190402724613213"/>
          <c:w val="0.98271798900235663"/>
          <c:h val="0.77874248620955666"/>
        </c:manualLayout>
      </c:layout>
      <c:pie3DChart>
        <c:varyColors val="1"/>
        <c:ser>
          <c:idx val="0"/>
          <c:order val="0"/>
          <c:tx>
            <c:strRef>
              <c:f>'Clean sales data'!$C$6</c:f>
              <c:strCache>
                <c:ptCount val="1"/>
                <c:pt idx="0">
                  <c:v>2012</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AAF3-4F1D-B2F6-06DD7AD9CBCF}"/>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AAF3-4F1D-B2F6-06DD7AD9CBCF}"/>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AAF3-4F1D-B2F6-06DD7AD9CBCF}"/>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AAF3-4F1D-B2F6-06DD7AD9CBCF}"/>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AAF3-4F1D-B2F6-06DD7AD9CBCF}"/>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AAF3-4F1D-B2F6-06DD7AD9CBCF}"/>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AAF3-4F1D-B2F6-06DD7AD9CBCF}"/>
              </c:ext>
            </c:extLst>
          </c:dPt>
          <c:dLbls>
            <c:spPr>
              <a:noFill/>
              <a:ln>
                <a:noFill/>
              </a:ln>
              <a:effectLst/>
            </c:spPr>
            <c:txPr>
              <a:bodyPr rot="0" spcFirstLastPara="1" vertOverflow="ellipsis" vert="horz" wrap="square" anchor="ctr" anchorCtr="0"/>
              <a:lstStyle/>
              <a:p>
                <a:pPr algn="l">
                  <a:defRPr sz="1100" b="1" i="1" u="sng" strike="noStrike" kern="1200" baseline="0">
                    <a:solidFill>
                      <a:schemeClr val="tx1">
                        <a:lumMod val="95000"/>
                        <a:lumOff val="5000"/>
                      </a:schemeClr>
                    </a:solidFill>
                    <a:latin typeface="Cambria" panose="02040503050406030204" pitchFamily="18" charset="0"/>
                    <a:ea typeface="Cambria" panose="02040503050406030204" pitchFamily="18" charset="0"/>
                    <a:cs typeface="+mn-cs"/>
                  </a:defRPr>
                </a:pPr>
                <a:endParaRPr lang="en-US"/>
              </a:p>
            </c:txPr>
            <c:dLblPos val="inEnd"/>
            <c:showLegendKey val="0"/>
            <c:showVal val="1"/>
            <c:showCatName val="1"/>
            <c:showSerName val="0"/>
            <c:showPercent val="1"/>
            <c:showBubbleSize val="0"/>
            <c:separator>; </c:separator>
            <c:showLeaderLines val="0"/>
            <c:extLst>
              <c:ext xmlns:c15="http://schemas.microsoft.com/office/drawing/2012/chart" uri="{CE6537A1-D6FC-4f65-9D91-7224C49458BB}"/>
            </c:extLst>
          </c:dLbls>
          <c:cat>
            <c:strRef>
              <c:f>'Clean sales data'!$B$7:$B$13</c:f>
              <c:strCache>
                <c:ptCount val="7"/>
                <c:pt idx="0">
                  <c:v>Antiques</c:v>
                </c:pt>
                <c:pt idx="1">
                  <c:v>Bottles</c:v>
                </c:pt>
                <c:pt idx="2">
                  <c:v>Cars</c:v>
                </c:pt>
                <c:pt idx="3">
                  <c:v>Fish Aquarium</c:v>
                </c:pt>
                <c:pt idx="4">
                  <c:v>Drones</c:v>
                </c:pt>
                <c:pt idx="5">
                  <c:v>Exquisite jewellery</c:v>
                </c:pt>
                <c:pt idx="6">
                  <c:v>Horses</c:v>
                </c:pt>
              </c:strCache>
            </c:strRef>
          </c:cat>
          <c:val>
            <c:numRef>
              <c:f>'Clean sales data'!$C$7:$C$13</c:f>
              <c:numCache>
                <c:formatCode>General</c:formatCode>
                <c:ptCount val="7"/>
                <c:pt idx="0">
                  <c:v>432521</c:v>
                </c:pt>
                <c:pt idx="1">
                  <c:v>44244</c:v>
                </c:pt>
                <c:pt idx="2">
                  <c:v>433796</c:v>
                </c:pt>
                <c:pt idx="3">
                  <c:v>50000</c:v>
                </c:pt>
                <c:pt idx="4">
                  <c:v>539770</c:v>
                </c:pt>
                <c:pt idx="5">
                  <c:v>597406</c:v>
                </c:pt>
                <c:pt idx="6">
                  <c:v>65000</c:v>
                </c:pt>
              </c:numCache>
            </c:numRef>
          </c:val>
          <c:extLst>
            <c:ext xmlns:c16="http://schemas.microsoft.com/office/drawing/2014/chart" uri="{C3380CC4-5D6E-409C-BE32-E72D297353CC}">
              <c16:uniqueId val="{0000000E-AAF3-4F1D-B2F6-06DD7AD9CBCF}"/>
            </c:ext>
          </c:extLst>
        </c:ser>
        <c:ser>
          <c:idx val="1"/>
          <c:order val="1"/>
          <c:tx>
            <c:strRef>
              <c:f>'Clean sales data'!$D$6</c:f>
              <c:strCache>
                <c:ptCount val="1"/>
                <c:pt idx="0">
                  <c:v>2013</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0-AAF3-4F1D-B2F6-06DD7AD9CBCF}"/>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2-AAF3-4F1D-B2F6-06DD7AD9CBCF}"/>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4-AAF3-4F1D-B2F6-06DD7AD9CBCF}"/>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6-AAF3-4F1D-B2F6-06DD7AD9CBCF}"/>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8-AAF3-4F1D-B2F6-06DD7AD9CBCF}"/>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A-AAF3-4F1D-B2F6-06DD7AD9CBCF}"/>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C-AAF3-4F1D-B2F6-06DD7AD9CBCF}"/>
              </c:ext>
            </c:extLst>
          </c:dPt>
          <c:dLbls>
            <c:spPr>
              <a:noFill/>
              <a:ln>
                <a:noFill/>
              </a:ln>
              <a:effectLst/>
            </c:spPr>
            <c:txPr>
              <a:bodyPr rot="0" spcFirstLastPara="1" vertOverflow="ellipsis" vert="horz" wrap="square" anchor="ctr" anchorCtr="1"/>
              <a:lstStyle/>
              <a:p>
                <a:pPr>
                  <a:defRPr sz="1100" b="0" i="1" u="none" strike="noStrike" kern="1200" baseline="0">
                    <a:solidFill>
                      <a:schemeClr val="bg1"/>
                    </a:solidFill>
                    <a:latin typeface="Comic Sans MS" panose="030F0702030302020204" pitchFamily="66" charset="0"/>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'Clean sales data'!$B$7:$B$13</c:f>
              <c:strCache>
                <c:ptCount val="7"/>
                <c:pt idx="0">
                  <c:v>Antiques</c:v>
                </c:pt>
                <c:pt idx="1">
                  <c:v>Bottles</c:v>
                </c:pt>
                <c:pt idx="2">
                  <c:v>Cars</c:v>
                </c:pt>
                <c:pt idx="3">
                  <c:v>Fish Aquarium</c:v>
                </c:pt>
                <c:pt idx="4">
                  <c:v>Drones</c:v>
                </c:pt>
                <c:pt idx="5">
                  <c:v>Exquisite jewellery</c:v>
                </c:pt>
                <c:pt idx="6">
                  <c:v>Horses</c:v>
                </c:pt>
              </c:strCache>
            </c:strRef>
          </c:cat>
          <c:val>
            <c:numRef>
              <c:f>'Clean sales data'!$D$7:$D$13</c:f>
              <c:numCache>
                <c:formatCode>General</c:formatCode>
                <c:ptCount val="7"/>
                <c:pt idx="0">
                  <c:v>227724</c:v>
                </c:pt>
                <c:pt idx="1">
                  <c:v>310416</c:v>
                </c:pt>
                <c:pt idx="2">
                  <c:v>191447</c:v>
                </c:pt>
                <c:pt idx="3">
                  <c:v>60000</c:v>
                </c:pt>
                <c:pt idx="4">
                  <c:v>125314</c:v>
                </c:pt>
                <c:pt idx="5">
                  <c:v>144037</c:v>
                </c:pt>
                <c:pt idx="6">
                  <c:v>123456</c:v>
                </c:pt>
              </c:numCache>
            </c:numRef>
          </c:val>
          <c:extLst>
            <c:ext xmlns:c16="http://schemas.microsoft.com/office/drawing/2014/chart" uri="{C3380CC4-5D6E-409C-BE32-E72D297353CC}">
              <c16:uniqueId val="{0000001D-AAF3-4F1D-B2F6-06DD7AD9CBCF}"/>
            </c:ext>
          </c:extLst>
        </c:ser>
        <c:ser>
          <c:idx val="2"/>
          <c:order val="2"/>
          <c:tx>
            <c:strRef>
              <c:f>'Clean sales data'!$E$6</c:f>
              <c:strCache>
                <c:ptCount val="1"/>
                <c:pt idx="0">
                  <c:v>2014</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F-AAF3-4F1D-B2F6-06DD7AD9CBCF}"/>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1-AAF3-4F1D-B2F6-06DD7AD9CBCF}"/>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3-AAF3-4F1D-B2F6-06DD7AD9CBCF}"/>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5-AAF3-4F1D-B2F6-06DD7AD9CBCF}"/>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7-AAF3-4F1D-B2F6-06DD7AD9CBCF}"/>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9-AAF3-4F1D-B2F6-06DD7AD9CBCF}"/>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B-AAF3-4F1D-B2F6-06DD7AD9CBCF}"/>
              </c:ext>
            </c:extLst>
          </c:dPt>
          <c:dLbls>
            <c:spPr>
              <a:noFill/>
              <a:ln>
                <a:noFill/>
              </a:ln>
              <a:effectLst/>
            </c:spPr>
            <c:txPr>
              <a:bodyPr rot="0" spcFirstLastPara="1" vertOverflow="ellipsis" vert="horz" wrap="square" anchor="ctr" anchorCtr="1"/>
              <a:lstStyle/>
              <a:p>
                <a:pPr>
                  <a:defRPr sz="1100" b="0" i="1" u="none" strike="noStrike" kern="1200" baseline="0">
                    <a:solidFill>
                      <a:schemeClr val="bg1"/>
                    </a:solidFill>
                    <a:latin typeface="Comic Sans MS" panose="030F0702030302020204" pitchFamily="66" charset="0"/>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'Clean sales data'!$B$7:$B$13</c:f>
              <c:strCache>
                <c:ptCount val="7"/>
                <c:pt idx="0">
                  <c:v>Antiques</c:v>
                </c:pt>
                <c:pt idx="1">
                  <c:v>Bottles</c:v>
                </c:pt>
                <c:pt idx="2">
                  <c:v>Cars</c:v>
                </c:pt>
                <c:pt idx="3">
                  <c:v>Fish Aquarium</c:v>
                </c:pt>
                <c:pt idx="4">
                  <c:v>Drones</c:v>
                </c:pt>
                <c:pt idx="5">
                  <c:v>Exquisite jewellery</c:v>
                </c:pt>
                <c:pt idx="6">
                  <c:v>Horses</c:v>
                </c:pt>
              </c:strCache>
            </c:strRef>
          </c:cat>
          <c:val>
            <c:numRef>
              <c:f>'Clean sales data'!$E$7:$E$13</c:f>
              <c:numCache>
                <c:formatCode>General</c:formatCode>
                <c:ptCount val="7"/>
                <c:pt idx="0">
                  <c:v>530619</c:v>
                </c:pt>
                <c:pt idx="1">
                  <c:v>123456</c:v>
                </c:pt>
                <c:pt idx="2">
                  <c:v>18073</c:v>
                </c:pt>
                <c:pt idx="3">
                  <c:v>30000</c:v>
                </c:pt>
                <c:pt idx="4">
                  <c:v>38178</c:v>
                </c:pt>
                <c:pt idx="5">
                  <c:v>362484</c:v>
                </c:pt>
                <c:pt idx="6">
                  <c:v>70000</c:v>
                </c:pt>
              </c:numCache>
            </c:numRef>
          </c:val>
          <c:extLst>
            <c:ext xmlns:c16="http://schemas.microsoft.com/office/drawing/2014/chart" uri="{C3380CC4-5D6E-409C-BE32-E72D297353CC}">
              <c16:uniqueId val="{0000002C-AAF3-4F1D-B2F6-06DD7AD9CBCF}"/>
            </c:ext>
          </c:extLst>
        </c:ser>
        <c:ser>
          <c:idx val="3"/>
          <c:order val="3"/>
          <c:tx>
            <c:strRef>
              <c:f>'Clean sales data'!$F$6</c:f>
              <c:strCache>
                <c:ptCount val="1"/>
                <c:pt idx="0">
                  <c:v>2015</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E-AAF3-4F1D-B2F6-06DD7AD9CBCF}"/>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0-AAF3-4F1D-B2F6-06DD7AD9CBCF}"/>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2-AAF3-4F1D-B2F6-06DD7AD9CBCF}"/>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4-AAF3-4F1D-B2F6-06DD7AD9CBCF}"/>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6-AAF3-4F1D-B2F6-06DD7AD9CBCF}"/>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8-AAF3-4F1D-B2F6-06DD7AD9CBCF}"/>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A-AAF3-4F1D-B2F6-06DD7AD9CBCF}"/>
              </c:ext>
            </c:extLst>
          </c:dPt>
          <c:dLbls>
            <c:spPr>
              <a:noFill/>
              <a:ln>
                <a:noFill/>
              </a:ln>
              <a:effectLst/>
            </c:spPr>
            <c:txPr>
              <a:bodyPr rot="0" spcFirstLastPara="1" vertOverflow="ellipsis" vert="horz" wrap="square" anchor="ctr" anchorCtr="1"/>
              <a:lstStyle/>
              <a:p>
                <a:pPr>
                  <a:defRPr sz="1100" b="0" i="1" u="none" strike="noStrike" kern="1200" baseline="0">
                    <a:solidFill>
                      <a:schemeClr val="bg1"/>
                    </a:solidFill>
                    <a:latin typeface="Comic Sans MS" panose="030F0702030302020204" pitchFamily="66" charset="0"/>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'Clean sales data'!$B$7:$B$13</c:f>
              <c:strCache>
                <c:ptCount val="7"/>
                <c:pt idx="0">
                  <c:v>Antiques</c:v>
                </c:pt>
                <c:pt idx="1">
                  <c:v>Bottles</c:v>
                </c:pt>
                <c:pt idx="2">
                  <c:v>Cars</c:v>
                </c:pt>
                <c:pt idx="3">
                  <c:v>Fish Aquarium</c:v>
                </c:pt>
                <c:pt idx="4">
                  <c:v>Drones</c:v>
                </c:pt>
                <c:pt idx="5">
                  <c:v>Exquisite jewellery</c:v>
                </c:pt>
                <c:pt idx="6">
                  <c:v>Horses</c:v>
                </c:pt>
              </c:strCache>
            </c:strRef>
          </c:cat>
          <c:val>
            <c:numRef>
              <c:f>'Clean sales data'!$F$7:$F$13</c:f>
              <c:numCache>
                <c:formatCode>General</c:formatCode>
                <c:ptCount val="7"/>
                <c:pt idx="0">
                  <c:v>182911</c:v>
                </c:pt>
                <c:pt idx="1">
                  <c:v>92490</c:v>
                </c:pt>
                <c:pt idx="2">
                  <c:v>484888</c:v>
                </c:pt>
                <c:pt idx="3">
                  <c:v>75120</c:v>
                </c:pt>
                <c:pt idx="4">
                  <c:v>419229</c:v>
                </c:pt>
                <c:pt idx="5">
                  <c:v>238034</c:v>
                </c:pt>
                <c:pt idx="6">
                  <c:v>40000</c:v>
                </c:pt>
              </c:numCache>
            </c:numRef>
          </c:val>
          <c:extLst>
            <c:ext xmlns:c16="http://schemas.microsoft.com/office/drawing/2014/chart" uri="{C3380CC4-5D6E-409C-BE32-E72D297353CC}">
              <c16:uniqueId val="{0000003B-AAF3-4F1D-B2F6-06DD7AD9CBCF}"/>
            </c:ext>
          </c:extLst>
        </c:ser>
        <c:ser>
          <c:idx val="4"/>
          <c:order val="4"/>
          <c:tx>
            <c:strRef>
              <c:f>'Clean sales data'!$G$6</c:f>
              <c:strCache>
                <c:ptCount val="1"/>
                <c:pt idx="0">
                  <c:v>2016</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D-AAF3-4F1D-B2F6-06DD7AD9CBCF}"/>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F-AAF3-4F1D-B2F6-06DD7AD9CBCF}"/>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41-AAF3-4F1D-B2F6-06DD7AD9CBCF}"/>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43-AAF3-4F1D-B2F6-06DD7AD9CBCF}"/>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45-AAF3-4F1D-B2F6-06DD7AD9CBCF}"/>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47-AAF3-4F1D-B2F6-06DD7AD9CBCF}"/>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49-AAF3-4F1D-B2F6-06DD7AD9CBCF}"/>
              </c:ext>
            </c:extLst>
          </c:dPt>
          <c:dLbls>
            <c:spPr>
              <a:noFill/>
              <a:ln>
                <a:noFill/>
              </a:ln>
              <a:effectLst/>
            </c:spPr>
            <c:txPr>
              <a:bodyPr rot="0" spcFirstLastPara="1" vertOverflow="ellipsis" vert="horz" wrap="square" anchor="ctr" anchorCtr="1"/>
              <a:lstStyle/>
              <a:p>
                <a:pPr>
                  <a:defRPr sz="1100" b="0" i="1" u="none" strike="noStrike" kern="1200" baseline="0">
                    <a:solidFill>
                      <a:schemeClr val="bg1"/>
                    </a:solidFill>
                    <a:latin typeface="Comic Sans MS" panose="030F0702030302020204" pitchFamily="66" charset="0"/>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'Clean sales data'!$B$7:$B$13</c:f>
              <c:strCache>
                <c:ptCount val="7"/>
                <c:pt idx="0">
                  <c:v>Antiques</c:v>
                </c:pt>
                <c:pt idx="1">
                  <c:v>Bottles</c:v>
                </c:pt>
                <c:pt idx="2">
                  <c:v>Cars</c:v>
                </c:pt>
                <c:pt idx="3">
                  <c:v>Fish Aquarium</c:v>
                </c:pt>
                <c:pt idx="4">
                  <c:v>Drones</c:v>
                </c:pt>
                <c:pt idx="5">
                  <c:v>Exquisite jewellery</c:v>
                </c:pt>
                <c:pt idx="6">
                  <c:v>Horses</c:v>
                </c:pt>
              </c:strCache>
            </c:strRef>
          </c:cat>
          <c:val>
            <c:numRef>
              <c:f>'Clean sales data'!$G$7:$G$13</c:f>
              <c:numCache>
                <c:formatCode>General</c:formatCode>
                <c:ptCount val="7"/>
                <c:pt idx="0">
                  <c:v>182000</c:v>
                </c:pt>
                <c:pt idx="1">
                  <c:v>921000</c:v>
                </c:pt>
                <c:pt idx="2">
                  <c:v>484000</c:v>
                </c:pt>
                <c:pt idx="3">
                  <c:v>87494</c:v>
                </c:pt>
                <c:pt idx="4">
                  <c:v>419000</c:v>
                </c:pt>
                <c:pt idx="5">
                  <c:v>238000</c:v>
                </c:pt>
                <c:pt idx="6">
                  <c:v>380000</c:v>
                </c:pt>
              </c:numCache>
            </c:numRef>
          </c:val>
          <c:extLst>
            <c:ext xmlns:c16="http://schemas.microsoft.com/office/drawing/2014/chart" uri="{C3380CC4-5D6E-409C-BE32-E72D297353CC}">
              <c16:uniqueId val="{0000004A-AAF3-4F1D-B2F6-06DD7AD9CBCF}"/>
            </c:ext>
          </c:extLst>
        </c:ser>
        <c:dLbls>
          <c:dLblPos val="inEnd"/>
          <c:showLegendKey val="0"/>
          <c:showVal val="0"/>
          <c:showCatName val="1"/>
          <c:showSerName val="0"/>
          <c:showPercent val="0"/>
          <c:showBubbleSize val="0"/>
          <c:showLeaderLines val="0"/>
        </c:dLbls>
      </c:pie3DChart>
      <c:spPr>
        <a:noFill/>
        <a:ln>
          <a:noFill/>
        </a:ln>
        <a:effectLst/>
      </c:spPr>
    </c:plotArea>
    <c:legend>
      <c:legendPos val="b"/>
      <c:layout>
        <c:manualLayout>
          <c:xMode val="edge"/>
          <c:yMode val="edge"/>
          <c:x val="2.4729884224594626E-3"/>
          <c:y val="0.89017811045224293"/>
          <c:w val="0.99326279010076424"/>
          <c:h val="9.0617499972997187E-2"/>
        </c:manualLayout>
      </c:layout>
      <c:overlay val="0"/>
      <c:spPr>
        <a:solidFill>
          <a:schemeClr val="tx1">
            <a:alpha val="73000"/>
          </a:schemeClr>
        </a:solidFill>
        <a:ln>
          <a:noFill/>
        </a:ln>
        <a:effectLst/>
      </c:spPr>
      <c:txPr>
        <a:bodyPr rot="0" spcFirstLastPara="1" vertOverflow="ellipsis" vert="horz" wrap="square" anchor="ctr" anchorCtr="1"/>
        <a:lstStyle/>
        <a:p>
          <a:pPr>
            <a:defRPr sz="1000" b="1" i="1" u="none" strike="noStrike" kern="1200" baseline="0">
              <a:solidFill>
                <a:schemeClr val="bg1"/>
              </a:solidFill>
              <a:latin typeface="Comic Sans MS" panose="030F0702030302020204" pitchFamily="66"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sz="1100" b="0" i="1" baseline="0">
          <a:solidFill>
            <a:schemeClr val="bg1"/>
          </a:solidFill>
          <a:latin typeface="Comic Sans MS" panose="030F0702030302020204" pitchFamily="66"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Yearwise Sales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'Clean sales data'!$B$7</c:f>
              <c:strCache>
                <c:ptCount val="1"/>
                <c:pt idx="0">
                  <c:v>Antiques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'Clean sales data'!$C$6:$G$6</c:f>
              <c:strCache>
                <c:ptCount val="5"/>
                <c:pt idx="0">
                  <c:v>2012</c:v>
                </c:pt>
                <c:pt idx="1">
                  <c:v>2013</c:v>
                </c:pt>
                <c:pt idx="2">
                  <c:v>2014</c:v>
                </c:pt>
                <c:pt idx="3">
                  <c:v>2015</c:v>
                </c:pt>
                <c:pt idx="4">
                  <c:v>2016</c:v>
                </c:pt>
              </c:strCache>
            </c:strRef>
          </c:cat>
          <c:val>
            <c:numRef>
              <c:f>'Clean sales data'!$C$7:$G$7</c:f>
              <c:numCache>
                <c:formatCode>General</c:formatCode>
                <c:ptCount val="5"/>
                <c:pt idx="0">
                  <c:v>432521</c:v>
                </c:pt>
                <c:pt idx="1">
                  <c:v>227724</c:v>
                </c:pt>
                <c:pt idx="2">
                  <c:v>530619</c:v>
                </c:pt>
                <c:pt idx="3">
                  <c:v>182911</c:v>
                </c:pt>
                <c:pt idx="4">
                  <c:v>182000</c:v>
                </c:pt>
              </c:numCache>
            </c:numRef>
          </c:val>
          <c:smooth val="0"/>
          <c:extLst>
            <c:ext xmlns:c16="http://schemas.microsoft.com/office/drawing/2014/chart" uri="{C3380CC4-5D6E-409C-BE32-E72D297353CC}">
              <c16:uniqueId val="{00000000-E063-4CE7-9132-6C481B95C796}"/>
            </c:ext>
          </c:extLst>
        </c:ser>
        <c:ser>
          <c:idx val="1"/>
          <c:order val="1"/>
          <c:tx>
            <c:strRef>
              <c:f>'Clean sales data'!$B$10</c:f>
              <c:strCache>
                <c:ptCount val="1"/>
                <c:pt idx="0">
                  <c:v>Fish Aquarium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'Clean sales data'!$C$6:$G$6</c:f>
              <c:strCache>
                <c:ptCount val="5"/>
                <c:pt idx="0">
                  <c:v>2012</c:v>
                </c:pt>
                <c:pt idx="1">
                  <c:v>2013</c:v>
                </c:pt>
                <c:pt idx="2">
                  <c:v>2014</c:v>
                </c:pt>
                <c:pt idx="3">
                  <c:v>2015</c:v>
                </c:pt>
                <c:pt idx="4">
                  <c:v>2016</c:v>
                </c:pt>
              </c:strCache>
            </c:strRef>
          </c:cat>
          <c:val>
            <c:numRef>
              <c:f>'Clean sales data'!$C$10:$G$10</c:f>
              <c:numCache>
                <c:formatCode>General</c:formatCode>
                <c:ptCount val="5"/>
                <c:pt idx="0">
                  <c:v>50000</c:v>
                </c:pt>
                <c:pt idx="1">
                  <c:v>60000</c:v>
                </c:pt>
                <c:pt idx="2">
                  <c:v>30000</c:v>
                </c:pt>
                <c:pt idx="3">
                  <c:v>75120</c:v>
                </c:pt>
                <c:pt idx="4">
                  <c:v>87494</c:v>
                </c:pt>
              </c:numCache>
            </c:numRef>
          </c:val>
          <c:smooth val="0"/>
          <c:extLst>
            <c:ext xmlns:c16="http://schemas.microsoft.com/office/drawing/2014/chart" uri="{C3380CC4-5D6E-409C-BE32-E72D297353CC}">
              <c16:uniqueId val="{00000001-E063-4CE7-9132-6C481B95C796}"/>
            </c:ext>
          </c:extLst>
        </c:ser>
        <c:dLbls>
          <c:showLegendKey val="0"/>
          <c:showVal val="0"/>
          <c:showCatName val="0"/>
          <c:showSerName val="0"/>
          <c:showPercent val="0"/>
          <c:showBubbleSize val="0"/>
        </c:dLbls>
        <c:marker val="1"/>
        <c:smooth val="0"/>
        <c:axId val="89904352"/>
        <c:axId val="89885152"/>
      </c:lineChart>
      <c:catAx>
        <c:axId val="8990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885152"/>
        <c:crosses val="autoZero"/>
        <c:auto val="1"/>
        <c:lblAlgn val="ctr"/>
        <c:lblOffset val="100"/>
        <c:noMultiLvlLbl val="0"/>
      </c:catAx>
      <c:valAx>
        <c:axId val="89885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904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12700" dist="38100" dir="18900000" algn="bl" rotWithShape="0">
        <a:schemeClr val="bg1">
          <a:alpha val="40000"/>
        </a:schemeClr>
      </a:outerShdw>
      <a:softEdge rad="12700"/>
    </a:effectLst>
    <a:scene3d>
      <a:camera prst="orthographicFront"/>
      <a:lightRig rig="threePt" dir="t"/>
    </a:scene3d>
    <a:sp3d>
      <a:bevelT prst="relaxedInset"/>
    </a:sp3d>
  </c:spPr>
  <c:txPr>
    <a:bodyPr/>
    <a:lstStyle/>
    <a:p>
      <a:pPr>
        <a:defRPr>
          <a:solidFill>
            <a:schemeClr val="tx1"/>
          </a:solidFill>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title pos="t" align="ctr" overlay="0">
      <cx:tx>
        <cx:txData>
          <cx:v>Funnel Chart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Funnel Chart</a:t>
          </a:r>
        </a:p>
      </cx:txPr>
    </cx:title>
    <cx:plotArea>
      <cx:plotAreaRegion>
        <cx:series layoutId="funnel" uniqueId="{E9000BE9-34EC-436C-865A-D93886CE70B2}">
          <cx:tx>
            <cx:txData>
              <cx:f>_xlchart.v2.6</cx:f>
              <cx:v>Salary per annum</cx:v>
            </cx:txData>
          </cx:tx>
          <cx:dataLabels>
            <cx:visibility seriesName="0" categoryName="0" value="1"/>
          </cx:dataLabels>
          <cx:dataId val="0"/>
        </cx:series>
      </cx:plotAreaRegion>
      <cx:axis id="0">
        <cx:catScaling gapWidth="0.0599999987"/>
        <cx:titl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val">
        <cx:f>_xlchart.v1.10</cx:f>
      </cx:numDim>
    </cx:data>
  </cx:chartData>
  <cx:chart>
    <cx:title pos="t" align="ctr" overlay="0">
      <cx:tx>
        <cx:txData>
          <cx:v>Waterfall Chart</cx:v>
        </cx:txData>
      </cx:tx>
      <cx:txPr>
        <a:bodyPr spcFirstLastPara="1" vertOverflow="ellipsis" horzOverflow="overflow" wrap="square" lIns="0" tIns="0" rIns="0" bIns="0" anchor="ctr" anchorCtr="1"/>
        <a:lstStyle/>
        <a:p>
          <a:pPr algn="ctr" rtl="0">
            <a:defRPr>
              <a:solidFill>
                <a:sysClr val="windowText" lastClr="000000">
                  <a:lumMod val="65000"/>
                  <a:lumOff val="35000"/>
                </a:sysClr>
              </a:solidFill>
            </a:defRPr>
          </a:pPr>
          <a:r>
            <a:rPr lang="en-US" sz="1400" b="0" i="0" u="none" strike="noStrike" baseline="0">
              <a:solidFill>
                <a:sysClr val="windowText" lastClr="000000">
                  <a:lumMod val="65000"/>
                  <a:lumOff val="35000"/>
                </a:sysClr>
              </a:solidFill>
              <a:latin typeface="Calibri" panose="020F0502020204030204"/>
            </a:rPr>
            <a:t>Waterfall Chart</a:t>
          </a:r>
        </a:p>
      </cx:txPr>
    </cx:title>
    <cx:plotArea>
      <cx:plotAreaRegion>
        <cx:plotSurface>
          <cx: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solidFill>
                <a:schemeClr val="bg1"/>
              </a:solidFill>
            </a:ln>
            <a:effectLst>
              <a:glow rad="63500">
                <a:schemeClr val="accent2">
                  <a:satMod val="175000"/>
                  <a:alpha val="40000"/>
                </a:schemeClr>
              </a:glow>
            </a:effectLst>
          </cx:spPr>
        </cx:plotSurface>
        <cx:series layoutId="waterfall" uniqueId="{E9000BE9-34EC-436C-865A-D93886CE70B2}">
          <cx:tx>
            <cx:txData>
              <cx:f>_xlchart.v1.9</cx:f>
              <cx:v>Salary per annum</cx:v>
            </cx:txData>
          </cx:tx>
          <cx:dataLabels pos="inBase">
            <cx:numFmt formatCode="General" sourceLinked="0"/>
            <cx:txPr>
              <a:bodyPr vertOverflow="overflow" horzOverflow="overflow" wrap="square" lIns="0" tIns="0" rIns="0" bIns="0"/>
              <a:lstStyle/>
              <a:p>
                <a:pPr algn="ctr" rtl="0">
                  <a:defRPr sz="900" b="0" i="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IN">
                  <a:solidFill>
                    <a:sysClr val="windowText" lastClr="000000">
                      <a:lumMod val="65000"/>
                      <a:lumOff val="35000"/>
                    </a:sysClr>
                  </a:solidFill>
                </a:endParaRPr>
              </a:p>
            </cx:txPr>
            <cx:visibility seriesName="0" categoryName="0" value="1"/>
            <cx:separator>, </cx:separator>
          </cx:dataLabels>
          <cx:dataId val="0"/>
          <cx:layoutPr>
            <cx:subtotals/>
          </cx:layoutPr>
        </cx:series>
      </cx:plotAreaRegion>
      <cx:axis id="0">
        <cx:catScaling gapWidth="0.0599999987"/>
        <cx:title>
          <cx:tx>
            <cx:txData>
              <cx:v>Axis Title</cx:v>
            </cx:txData>
          </cx:tx>
          <cx:txPr>
            <a:bodyPr vertOverflow="overflow" horzOverflow="overflow" wrap="square" lIns="0" tIns="0" rIns="0" bIns="0"/>
            <a:lstStyle/>
            <a:p>
              <a:pPr algn="ctr" rtl="0">
                <a:defRPr sz="900" b="0" i="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r>
                <a:rPr lang="en-IN">
                  <a:solidFill>
                    <a:sysClr val="windowText" lastClr="000000">
                      <a:lumMod val="65000"/>
                      <a:lumOff val="35000"/>
                    </a:sysClr>
                  </a:solidFill>
                </a:rPr>
                <a:t>Axis Title</a:t>
              </a:r>
            </a:p>
          </cx:txPr>
        </cx:title>
        <cx:tickLabels/>
        <cx:txPr>
          <a:bodyPr vertOverflow="overflow" horzOverflow="overflow" wrap="square" lIns="0" tIns="0" rIns="0" bIns="0"/>
          <a:lstStyle/>
          <a:p>
            <a:pPr algn="ctr" rtl="0">
              <a:defRPr sz="900" b="0" i="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IN">
              <a:solidFill>
                <a:sysClr val="windowText" lastClr="000000">
                  <a:lumMod val="65000"/>
                  <a:lumOff val="35000"/>
                </a:sysClr>
              </a:solidFill>
            </a:endParaRPr>
          </a:p>
        </cx:txPr>
      </cx:axis>
      <cx:axis id="1">
        <cx:valScaling/>
        <cx:tickLabels/>
        <cx:txPr>
          <a:bodyPr vertOverflow="overflow" horzOverflow="overflow" wrap="square" lIns="0" tIns="0" rIns="0" bIns="0"/>
          <a:lstStyle/>
          <a:p>
            <a:pPr algn="ctr" rtl="0">
              <a:defRPr sz="900" b="0" i="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IN">
              <a:solidFill>
                <a:sysClr val="windowText" lastClr="000000">
                  <a:lumMod val="65000"/>
                  <a:lumOff val="35000"/>
                </a:sysClr>
              </a:solidFill>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chartData>
  <cx:chart>
    <cx:title pos="t" align="ctr" overlay="0">
      <cx:tx>
        <cx:txData>
          <cx:v>Waterfall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Waterfall</a:t>
          </a:r>
        </a:p>
      </cx:txPr>
    </cx:title>
    <cx:plotArea>
      <cx:plotAreaRegion>
        <cx:plotSurface>
          <cx:spPr>
            <a:noFill/>
          </cx:spPr>
        </cx:plotSurface>
        <cx:series layoutId="waterfall" uniqueId="{48EC0524-AE9A-4D14-8819-01F445DCD942}" formatIdx="0">
          <cx:tx>
            <cx:txData>
              <cx:f>_xlchart.v1.1</cx:f>
              <cx:v>Salary per annum</cx:v>
            </cx:txData>
          </cx:tx>
          <cx:dataLabels pos="outEnd">
            <cx:visibility seriesName="0" categoryName="0" value="1"/>
          </cx:dataLabels>
          <cx:dataId val="0"/>
          <cx:layoutPr>
            <cx:visibility connectorLines="0"/>
            <cx:subtotals/>
          </cx:layoutPr>
        </cx:series>
        <cx:series layoutId="waterfall" hidden="1" uniqueId="{F5D93A47-9D1F-4D0A-8D3C-E458A5962BB2}" formatIdx="1">
          <cx:tx>
            <cx:txData>
              <cx:f>_xlchart.v1.3</cx:f>
              <cx:v>Previous Salaries</cx:v>
            </cx:txData>
          </cx:tx>
          <cx:dataLabels pos="outEnd">
            <cx:visibility seriesName="0" categoryName="0" value="1"/>
          </cx:dataLabels>
          <cx:dataId val="1"/>
          <cx:layoutPr>
            <cx:visibility connectorLines="0"/>
            <cx:subtotals/>
          </cx:layoutPr>
        </cx:series>
      </cx:plotAreaRegion>
      <cx:axis id="0">
        <cx:catScaling gapWidth="0.5"/>
        <cx:tickLabels/>
      </cx:axis>
      <cx:axis id="1">
        <cx:valScaling/>
        <cx:majorGridlines/>
        <cx:tickLabels/>
      </cx:axis>
    </cx:plotArea>
    <cx:legend pos="t" align="ctr" overlay="0"/>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title pos="t" align="ctr" overlay="0">
      <cx:tx>
        <cx:txData>
          <cx:v>Treemap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Treemap</a:t>
          </a:r>
        </a:p>
      </cx:txPr>
    </cx:title>
    <cx:plotArea>
      <cx:plotAreaRegion>
        <cx:series layoutId="treemap" uniqueId="{5B62BE41-542C-46CA-B7FE-22D6BDFA2AB2}">
          <cx:tx>
            <cx:txData>
              <cx:f>_xlchart.v1.12</cx:f>
              <cx:v>Cost Price</cx:v>
            </cx:txData>
          </cx:tx>
          <cx:dataLabels pos="inEnd">
            <cx:numFmt formatCode="₹ #,##0" sourceLinked="0"/>
            <cx:visibility seriesName="0" categoryName="1" value="1"/>
            <cx:separator>, </cx:separator>
          </cx:dataLabels>
          <cx:dataId val="0"/>
          <cx:layoutPr>
            <cx:parentLabelLayout val="overlapping"/>
          </cx:layoutPr>
        </cx:series>
      </cx:plotAreaRegion>
    </cx:plotArea>
    <cx:legend pos="t"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size">
        <cx:f>_xlchart.v1.16</cx:f>
      </cx:numDim>
    </cx:data>
  </cx:chartData>
  <cx:chart>
    <cx:title pos="t" align="ctr" overlay="0">
      <cx:tx>
        <cx:txData>
          <cx:v>Sunburst</cx:v>
        </cx:txData>
      </cx:tx>
      <cx:txPr>
        <a:bodyPr vertOverflow="overflow" horzOverflow="overflow" wrap="square" lIns="0" tIns="0" rIns="0" bIns="0"/>
        <a:lstStyle/>
        <a:p>
          <a:pPr algn="ctr" rtl="0">
            <a:defRPr sz="1400" b="0" i="0">
              <a:ln w="7620">
                <a:solidFill>
                  <a:schemeClr val="bg1"/>
                </a:solidFill>
              </a:ln>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IN" sz="1600" b="1" i="0" u="none">
              <a:ln w="7620">
                <a:solidFill>
                  <a:schemeClr val="bg1"/>
                </a:solidFill>
              </a:ln>
              <a:solidFill>
                <a:schemeClr val="tx1"/>
              </a:solidFill>
            </a:rPr>
            <a:t>Sunburst</a:t>
          </a:r>
        </a:p>
      </cx:txPr>
    </cx:title>
    <cx:plotArea>
      <cx:plotAreaRegion>
        <cx:series layoutId="sunburst" uniqueId="{2E23DF6F-93B6-4C36-92DC-34CAC0062B89}">
          <cx:tx>
            <cx:txData>
              <cx:f>_xlchart.v1.15</cx:f>
              <cx:v>Cost Price</cx:v>
            </cx:txData>
          </cx:tx>
          <cx:dataLabels pos="ctr">
            <cx:txPr>
              <a:bodyPr vertOverflow="overflow" horzOverflow="overflow" wrap="square" lIns="0" tIns="0" rIns="0" bIns="0"/>
              <a:lstStyle/>
              <a:p>
                <a:pPr algn="ctr" rtl="0">
                  <a:defRPr sz="900" b="0" i="0">
                    <a:ln w="7620">
                      <a:solidFill>
                        <a:schemeClr val="bg1"/>
                      </a:solidFill>
                    </a:ln>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IN">
                  <a:ln w="7620">
                    <a:solidFill>
                      <a:schemeClr val="bg1"/>
                    </a:solidFill>
                  </a:ln>
                  <a:solidFill>
                    <a:schemeClr val="tx1"/>
                  </a:solidFill>
                </a:endParaRPr>
              </a:p>
            </cx:txPr>
            <cx:visibility seriesName="0" categoryName="1" value="0"/>
          </cx:dataLabels>
          <cx:dataId val="0"/>
        </cx:series>
      </cx:plotAreaRegion>
    </cx:plotArea>
  </cx:chart>
  <cx:spPr>
    <a:blipFill dpi="0" rotWithShape="1">
      <a:blip r:embed="rId1"/>
      <a:srcRect/>
      <a:tile tx="0" ty="0" sx="100000" sy="100000" flip="none" algn="tl"/>
    </a:blipFill>
    <a:effectLst>
      <a:outerShdw blurRad="50800" dist="38100" dir="8100000" algn="tr" rotWithShape="0">
        <a:prstClr val="black">
          <a:alpha val="40000"/>
        </a:prstClr>
      </a:outerShdw>
      <a:softEdge rad="266700"/>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2" Type="http://schemas.microsoft.com/office/2014/relationships/chartEx" Target="../charts/chartEx5.xml"/><Relationship Id="rId1" Type="http://schemas.microsoft.com/office/2014/relationships/chartEx" Target="../charts/chartEx4.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660400</xdr:colOff>
      <xdr:row>13</xdr:row>
      <xdr:rowOff>171450</xdr:rowOff>
    </xdr:from>
    <xdr:to>
      <xdr:col>7</xdr:col>
      <xdr:colOff>44450</xdr:colOff>
      <xdr:row>19</xdr:row>
      <xdr:rowOff>38100</xdr:rowOff>
    </xdr:to>
    <xdr:sp macro="" textlink="">
      <xdr:nvSpPr>
        <xdr:cNvPr id="3" name="Cloud 2">
          <a:extLst>
            <a:ext uri="{FF2B5EF4-FFF2-40B4-BE49-F238E27FC236}">
              <a16:creationId xmlns:a16="http://schemas.microsoft.com/office/drawing/2014/main" id="{3BF9664E-0EF4-C966-8CFC-5ECA6618C195}"/>
            </a:ext>
          </a:extLst>
        </xdr:cNvPr>
        <xdr:cNvSpPr/>
      </xdr:nvSpPr>
      <xdr:spPr>
        <a:xfrm>
          <a:off x="3975100" y="2813050"/>
          <a:ext cx="2393950" cy="1085850"/>
        </a:xfrm>
        <a:prstGeom prst="cloud">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kern="1200"/>
        </a:p>
      </xdr:txBody>
    </xdr:sp>
    <xdr:clientData/>
  </xdr:twoCellAnchor>
  <xdr:twoCellAnchor>
    <xdr:from>
      <xdr:col>6</xdr:col>
      <xdr:colOff>95250</xdr:colOff>
      <xdr:row>0</xdr:row>
      <xdr:rowOff>171450</xdr:rowOff>
    </xdr:from>
    <xdr:to>
      <xdr:col>8</xdr:col>
      <xdr:colOff>342900</xdr:colOff>
      <xdr:row>8</xdr:row>
      <xdr:rowOff>127000</xdr:rowOff>
    </xdr:to>
    <xdr:sp macro="" textlink="">
      <xdr:nvSpPr>
        <xdr:cNvPr id="4" name="Star: 4 Points 3">
          <a:extLst>
            <a:ext uri="{FF2B5EF4-FFF2-40B4-BE49-F238E27FC236}">
              <a16:creationId xmlns:a16="http://schemas.microsoft.com/office/drawing/2014/main" id="{21658AF4-0004-6ABD-2DBF-E161C864F226}"/>
            </a:ext>
          </a:extLst>
        </xdr:cNvPr>
        <xdr:cNvSpPr/>
      </xdr:nvSpPr>
      <xdr:spPr>
        <a:xfrm>
          <a:off x="5689600" y="171450"/>
          <a:ext cx="1466850" cy="1581150"/>
        </a:xfrm>
        <a:prstGeom prst="star4">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kern="1200"/>
        </a:p>
      </xdr:txBody>
    </xdr:sp>
    <xdr:clientData/>
  </xdr:twoCellAnchor>
  <xdr:twoCellAnchor>
    <xdr:from>
      <xdr:col>10</xdr:col>
      <xdr:colOff>94279</xdr:colOff>
      <xdr:row>4</xdr:row>
      <xdr:rowOff>79897</xdr:rowOff>
    </xdr:from>
    <xdr:to>
      <xdr:col>12</xdr:col>
      <xdr:colOff>136697</xdr:colOff>
      <xdr:row>13</xdr:row>
      <xdr:rowOff>83370</xdr:rowOff>
    </xdr:to>
    <xdr:sp macro="" textlink="">
      <xdr:nvSpPr>
        <xdr:cNvPr id="5" name="Lightning Bolt 4">
          <a:extLst>
            <a:ext uri="{FF2B5EF4-FFF2-40B4-BE49-F238E27FC236}">
              <a16:creationId xmlns:a16="http://schemas.microsoft.com/office/drawing/2014/main" id="{DA5AFC53-FEEC-9BC2-0FDA-70D9873C521A}"/>
            </a:ext>
          </a:extLst>
        </xdr:cNvPr>
        <xdr:cNvSpPr/>
      </xdr:nvSpPr>
      <xdr:spPr>
        <a:xfrm rot="4808832">
          <a:off x="7841701" y="1178025"/>
          <a:ext cx="1832273" cy="1261618"/>
        </a:xfrm>
        <a:prstGeom prst="lightningBol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kern="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114300</xdr:colOff>
      <xdr:row>0</xdr:row>
      <xdr:rowOff>57150</xdr:rowOff>
    </xdr:from>
    <xdr:to>
      <xdr:col>13</xdr:col>
      <xdr:colOff>146050</xdr:colOff>
      <xdr:row>23</xdr:row>
      <xdr:rowOff>120650</xdr:rowOff>
    </xdr:to>
    <xdr:graphicFrame macro="">
      <xdr:nvGraphicFramePr>
        <xdr:cNvPr id="2" name="Chart 1">
          <a:extLst>
            <a:ext uri="{FF2B5EF4-FFF2-40B4-BE49-F238E27FC236}">
              <a16:creationId xmlns:a16="http://schemas.microsoft.com/office/drawing/2014/main" id="{A65FA81B-A95B-B720-A90D-E941F3259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184150</xdr:colOff>
      <xdr:row>7</xdr:row>
      <xdr:rowOff>152400</xdr:rowOff>
    </xdr:from>
    <xdr:to>
      <xdr:col>5</xdr:col>
      <xdr:colOff>412750</xdr:colOff>
      <xdr:row>13</xdr:row>
      <xdr:rowOff>133350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63EA53FB-1B1F-E728-EA92-595EA56EAB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765550" y="1631950"/>
              <a:ext cx="1447800"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508000</xdr:colOff>
      <xdr:row>0</xdr:row>
      <xdr:rowOff>146050</xdr:rowOff>
    </xdr:from>
    <xdr:to>
      <xdr:col>14</xdr:col>
      <xdr:colOff>53975</xdr:colOff>
      <xdr:row>16</xdr:row>
      <xdr:rowOff>50800</xdr:rowOff>
    </xdr:to>
    <xdr:graphicFrame macro="">
      <xdr:nvGraphicFramePr>
        <xdr:cNvPr id="4" name="Chart 3">
          <a:extLst>
            <a:ext uri="{FF2B5EF4-FFF2-40B4-BE49-F238E27FC236}">
              <a16:creationId xmlns:a16="http://schemas.microsoft.com/office/drawing/2014/main" id="{3B0B1F50-9FED-799E-E325-7D12C32E7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520700</xdr:colOff>
      <xdr:row>2</xdr:row>
      <xdr:rowOff>82550</xdr:rowOff>
    </xdr:from>
    <xdr:to>
      <xdr:col>15</xdr:col>
      <xdr:colOff>158750</xdr:colOff>
      <xdr:row>9</xdr:row>
      <xdr:rowOff>165100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6CD6D477-2D46-F854-9D3D-BBE6F4E6F3C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718300" y="450850"/>
              <a:ext cx="45148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923924</xdr:colOff>
      <xdr:row>1</xdr:row>
      <xdr:rowOff>139700</xdr:rowOff>
    </xdr:from>
    <xdr:to>
      <xdr:col>12</xdr:col>
      <xdr:colOff>165100</xdr:colOff>
      <xdr:row>17</xdr:row>
      <xdr:rowOff>158750</xdr:rowOff>
    </xdr:to>
    <xdr:graphicFrame macro="">
      <xdr:nvGraphicFramePr>
        <xdr:cNvPr id="3" name="Chart 2">
          <a:extLst>
            <a:ext uri="{FF2B5EF4-FFF2-40B4-BE49-F238E27FC236}">
              <a16:creationId xmlns:a16="http://schemas.microsoft.com/office/drawing/2014/main" id="{EE47884A-E596-9689-35CF-3641345A6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21</xdr:row>
      <xdr:rowOff>0</xdr:rowOff>
    </xdr:from>
    <xdr:to>
      <xdr:col>13</xdr:col>
      <xdr:colOff>412750</xdr:colOff>
      <xdr:row>36</xdr:row>
      <xdr:rowOff>127000</xdr:rowOff>
    </xdr:to>
    <xdr:graphicFrame macro="">
      <xdr:nvGraphicFramePr>
        <xdr:cNvPr id="4" name="Chart 3">
          <a:extLst>
            <a:ext uri="{FF2B5EF4-FFF2-40B4-BE49-F238E27FC236}">
              <a16:creationId xmlns:a16="http://schemas.microsoft.com/office/drawing/2014/main" id="{E1F30AA5-2827-41C1-BEE9-70146A26F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352424</xdr:colOff>
      <xdr:row>38</xdr:row>
      <xdr:rowOff>101600</xdr:rowOff>
    </xdr:from>
    <xdr:to>
      <xdr:col>13</xdr:col>
      <xdr:colOff>425449</xdr:colOff>
      <xdr:row>54</xdr:row>
      <xdr:rowOff>19050</xdr:rowOff>
    </xdr:to>
    <xdr:graphicFrame macro="">
      <xdr:nvGraphicFramePr>
        <xdr:cNvPr id="5" name="Chart 4">
          <a:extLst>
            <a:ext uri="{FF2B5EF4-FFF2-40B4-BE49-F238E27FC236}">
              <a16:creationId xmlns:a16="http://schemas.microsoft.com/office/drawing/2014/main" id="{90CF15FE-2E5D-9556-1818-6F377192A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171450</xdr:colOff>
      <xdr:row>22</xdr:row>
      <xdr:rowOff>6350</xdr:rowOff>
    </xdr:from>
    <xdr:to>
      <xdr:col>15</xdr:col>
      <xdr:colOff>0</xdr:colOff>
      <xdr:row>43</xdr:row>
      <xdr:rowOff>88900</xdr:rowOff>
    </xdr:to>
    <xdr:graphicFrame macro="">
      <xdr:nvGraphicFramePr>
        <xdr:cNvPr id="4" name="Chart 3">
          <a:extLst>
            <a:ext uri="{FF2B5EF4-FFF2-40B4-BE49-F238E27FC236}">
              <a16:creationId xmlns:a16="http://schemas.microsoft.com/office/drawing/2014/main" id="{13763028-6930-E387-6789-8783470CA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635000</xdr:colOff>
      <xdr:row>50</xdr:row>
      <xdr:rowOff>0</xdr:rowOff>
    </xdr:from>
    <xdr:to>
      <xdr:col>18</xdr:col>
      <xdr:colOff>558800</xdr:colOff>
      <xdr:row>72</xdr:row>
      <xdr:rowOff>152400</xdr:rowOff>
    </xdr:to>
    <xdr:graphicFrame macro="">
      <xdr:nvGraphicFramePr>
        <xdr:cNvPr id="5" name="Chart 4">
          <a:extLst>
            <a:ext uri="{FF2B5EF4-FFF2-40B4-BE49-F238E27FC236}">
              <a16:creationId xmlns:a16="http://schemas.microsoft.com/office/drawing/2014/main" id="{C0CB8177-19CC-4C39-83DB-0618EB1AF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206374</xdr:colOff>
      <xdr:row>26</xdr:row>
      <xdr:rowOff>101600</xdr:rowOff>
    </xdr:from>
    <xdr:to>
      <xdr:col>4</xdr:col>
      <xdr:colOff>44449</xdr:colOff>
      <xdr:row>38</xdr:row>
      <xdr:rowOff>177800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0AC33829-CAAD-682F-0FE9-0978472CAC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6374" y="8110220"/>
              <a:ext cx="4326255" cy="2727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215900</xdr:colOff>
      <xdr:row>26</xdr:row>
      <xdr:rowOff>88900</xdr:rowOff>
    </xdr:from>
    <xdr:to>
      <xdr:col>12</xdr:col>
      <xdr:colOff>88900</xdr:colOff>
      <xdr:row>38</xdr:row>
      <xdr:rowOff>165100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1489544F-7F62-4116-9535-EAD233BBEA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704080" y="8097520"/>
              <a:ext cx="6289040" cy="2727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247650</xdr:colOff>
      <xdr:row>40</xdr:row>
      <xdr:rowOff>76200</xdr:rowOff>
    </xdr:from>
    <xdr:to>
      <xdr:col>12</xdr:col>
      <xdr:colOff>552450</xdr:colOff>
      <xdr:row>57</xdr:row>
      <xdr:rowOff>107950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F48EEE54-D11C-C80F-0726-5A255489D5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829050" y="11178540"/>
              <a:ext cx="7627620" cy="37884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536574</xdr:colOff>
      <xdr:row>20</xdr:row>
      <xdr:rowOff>152400</xdr:rowOff>
    </xdr:from>
    <xdr:to>
      <xdr:col>12</xdr:col>
      <xdr:colOff>114300</xdr:colOff>
      <xdr:row>47</xdr:row>
      <xdr:rowOff>107950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389FD22-7F20-4029-5416-05DC4EBABC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6574" y="4267200"/>
              <a:ext cx="10954386" cy="55105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168274</xdr:colOff>
      <xdr:row>51</xdr:row>
      <xdr:rowOff>101600</xdr:rowOff>
    </xdr:from>
    <xdr:to>
      <xdr:col>7</xdr:col>
      <xdr:colOff>482599</xdr:colOff>
      <xdr:row>72</xdr:row>
      <xdr:rowOff>139700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FA7FE03A-DD69-52E2-6C1F-21913E9F39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68274" y="10594340"/>
              <a:ext cx="6806565" cy="4358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158750</xdr:colOff>
      <xdr:row>0</xdr:row>
      <xdr:rowOff>171450</xdr:rowOff>
    </xdr:from>
    <xdr:to>
      <xdr:col>10</xdr:col>
      <xdr:colOff>736600</xdr:colOff>
      <xdr:row>19</xdr:row>
      <xdr:rowOff>25400</xdr:rowOff>
    </xdr:to>
    <xdr:graphicFrame macro="">
      <xdr:nvGraphicFramePr>
        <xdr:cNvPr id="2" name="Chart 1">
          <a:extLst>
            <a:ext uri="{FF2B5EF4-FFF2-40B4-BE49-F238E27FC236}">
              <a16:creationId xmlns:a16="http://schemas.microsoft.com/office/drawing/2014/main" id="{FA7BBBD3-90B4-45BD-9764-2E0E49410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139700</xdr:colOff>
      <xdr:row>30</xdr:row>
      <xdr:rowOff>6350</xdr:rowOff>
    </xdr:from>
    <xdr:to>
      <xdr:col>8</xdr:col>
      <xdr:colOff>254000</xdr:colOff>
      <xdr:row>55</xdr:row>
      <xdr:rowOff>31750</xdr:rowOff>
    </xdr:to>
    <xdr:graphicFrame macro="">
      <xdr:nvGraphicFramePr>
        <xdr:cNvPr id="3" name="Chart 2">
          <a:extLst>
            <a:ext uri="{FF2B5EF4-FFF2-40B4-BE49-F238E27FC236}">
              <a16:creationId xmlns:a16="http://schemas.microsoft.com/office/drawing/2014/main" id="{6E0AABDB-D277-4AA0-B5B4-E3A2FF7DC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361950</xdr:colOff>
      <xdr:row>30</xdr:row>
      <xdr:rowOff>107950</xdr:rowOff>
    </xdr:from>
    <xdr:to>
      <xdr:col>15</xdr:col>
      <xdr:colOff>38100</xdr:colOff>
      <xdr:row>48</xdr:row>
      <xdr:rowOff>0</xdr:rowOff>
    </xdr:to>
    <xdr:graphicFrame macro="">
      <xdr:nvGraphicFramePr>
        <xdr:cNvPr id="4" name="Chart 3">
          <a:extLst>
            <a:ext uri="{FF2B5EF4-FFF2-40B4-BE49-F238E27FC236}">
              <a16:creationId xmlns:a16="http://schemas.microsoft.com/office/drawing/2014/main" id="{03C4351B-891D-4C43-85DE-1032C9383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9</xdr:col>
      <xdr:colOff>171450</xdr:colOff>
      <xdr:row>48</xdr:row>
      <xdr:rowOff>177800</xdr:rowOff>
    </xdr:from>
    <xdr:to>
      <xdr:col>12</xdr:col>
      <xdr:colOff>69850</xdr:colOff>
      <xdr:row>57</xdr:row>
      <xdr:rowOff>184149</xdr:rowOff>
    </xdr:to>
    <mc:AlternateContent xmlns:mc="http://schemas.openxmlformats.org/markup-compatibility/2006" xmlns:sle15="http://schemas.microsoft.com/office/drawing/2012/slicer">
      <mc:Choice Requires="sle15">
        <xdr:graphicFrame macro="">
          <xdr:nvGraphicFramePr>
            <xdr:cNvPr id="6" name="Products' Slicer">
              <a:extLst>
                <a:ext uri="{FF2B5EF4-FFF2-40B4-BE49-F238E27FC236}">
                  <a16:creationId xmlns:a16="http://schemas.microsoft.com/office/drawing/2014/main" id="{33FB8253-382B-4334-92C2-9B22FE48B8D8}"/>
                </a:ext>
              </a:extLst>
            </xdr:cNvPr>
            <xdr:cNvGraphicFramePr/>
          </xdr:nvGraphicFramePr>
          <xdr:xfrm>
            <a:off x="0" y="0"/>
            <a:ext cx="0" cy="0"/>
          </xdr:xfrm>
          <a:graphic>
            <a:graphicData uri="http://schemas.microsoft.com/office/drawing/2010/slicer">
              <sle:slicer xmlns:sle="http://schemas.microsoft.com/office/drawing/2010/slicer" name="Products' Slicer"/>
            </a:graphicData>
          </a:graphic>
        </xdr:graphicFrame>
      </mc:Choice>
      <mc:Fallback xmlns="">
        <xdr:sp macro="" textlink="">
          <xdr:nvSpPr>
            <xdr:cNvPr id="0" name=""/>
            <xdr:cNvSpPr>
              <a:spLocks noTextEdit="1"/>
            </xdr:cNvSpPr>
          </xdr:nvSpPr>
          <xdr:spPr>
            <a:xfrm>
              <a:off x="7359650" y="9302750"/>
              <a:ext cx="3175000" cy="1663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279400</xdr:colOff>
      <xdr:row>2</xdr:row>
      <xdr:rowOff>171450</xdr:rowOff>
    </xdr:from>
    <xdr:to>
      <xdr:col>14</xdr:col>
      <xdr:colOff>133350</xdr:colOff>
      <xdr:row>11</xdr:row>
      <xdr:rowOff>177799</xdr:rowOff>
    </xdr:to>
    <mc:AlternateContent xmlns:mc="http://schemas.openxmlformats.org/markup-compatibility/2006" xmlns:sle15="http://schemas.microsoft.com/office/drawing/2012/slicer">
      <mc:Choice Requires="sle15">
        <xdr:graphicFrame macro="">
          <xdr:nvGraphicFramePr>
            <xdr:cNvPr id="7" name="Products' Slicer 1">
              <a:extLst>
                <a:ext uri="{FF2B5EF4-FFF2-40B4-BE49-F238E27FC236}">
                  <a16:creationId xmlns:a16="http://schemas.microsoft.com/office/drawing/2014/main" id="{A64D1C89-951B-4BC3-B05E-77B6C2317B54}"/>
                </a:ext>
              </a:extLst>
            </xdr:cNvPr>
            <xdr:cNvGraphicFramePr/>
          </xdr:nvGraphicFramePr>
          <xdr:xfrm>
            <a:off x="0" y="0"/>
            <a:ext cx="0" cy="0"/>
          </xdr:xfrm>
          <a:graphic>
            <a:graphicData uri="http://schemas.microsoft.com/office/drawing/2010/slicer">
              <sle:slicer xmlns:sle="http://schemas.microsoft.com/office/drawing/2010/slicer" name="Products' Slicer 1"/>
            </a:graphicData>
          </a:graphic>
        </xdr:graphicFrame>
      </mc:Choice>
      <mc:Fallback xmlns="">
        <xdr:sp macro="" textlink="">
          <xdr:nvSpPr>
            <xdr:cNvPr id="0" name=""/>
            <xdr:cNvSpPr>
              <a:spLocks noTextEdit="1"/>
            </xdr:cNvSpPr>
          </xdr:nvSpPr>
          <xdr:spPr>
            <a:xfrm>
              <a:off x="8559800" y="539750"/>
              <a:ext cx="3257550" cy="1663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2564F60-8190-45F8-99C4-5E8B7FD17161}"/>
</namedSheetViews>
</file>

<file path=xl/persons/person.xml><?xml version="1.0" encoding="utf-8"?>
<personList xmlns="http://schemas.microsoft.com/office/spreadsheetml/2018/threadedcomments" xmlns:x="http://schemas.openxmlformats.org/spreadsheetml/2006/main">
  <person displayName="DR. NISHTHA JAIN" id="{06826219-AACC-4E75-94BF-0DCAC89E2ACB}" userId="116f6aa4af3aa8b1" providerId="Windows Live"/>
</personList>
</file>

<file path=xl/pivotCache/_rels/pivotCacheDefinition2.xml.rels><?xml version="1.0" encoding="UTF-8" standalone="yes"?>
<Relationships xmlns="http://schemas.openxmlformats.org/package/2006/relationships"><Relationship Id="rId2" Type="http://schemas.openxmlformats.org/officeDocument/2006/relationships/externalLinkPath" Target="Lectures_new.xlsx" TargetMode="External"/><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2" Type="http://schemas.microsoft.com/office/2006/relationships/xlExternalLinkPath/xlPathMissing" Target="Lectures_new.xlsx" TargetMode="External"/><Relationship Id="rId1" Type="http://schemas.openxmlformats.org/officeDocument/2006/relationships/pivotCacheRecords" Target="pivotCacheRecords5.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 NISHTHA JAIN" refreshedDate="45708.923212499998" createdVersion="8" refreshedVersion="8" minRefreshableVersion="3" recordCount="2" xr:uid="{D53536A5-5EDD-4BBA-965A-A7C626FB2D4C}">
  <cacheSource type="scenario"/>
  <cacheFields count="3">
    <cacheField name="$E$4:$E$14" numFmtId="0">
      <sharedItems containsNonDate="0" count="2">
        <s v="LowerCost"/>
        <s v="HigherCost"/>
      </sharedItems>
    </cacheField>
    <cacheField name="$E$4:$E$14 by" numFmtId="0">
      <sharedItems containsNonDate="0" count="1">
        <s v="DR. NISHTHA JAIN"/>
      </sharedItems>
    </cacheField>
    <cacheField name="res $E$15" numFmtId="0">
      <sharedItems containsSemiMixedTypes="0" containsNonDate="0" containsString="0" containsNumber="1" containsInteger="1" minValue="50000" maxValue="65500" count="2">
        <n v="50000"/>
        <n v="655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 NISHTHA JAIN" refreshedDate="45711.742317129632" createdVersion="8" refreshedVersion="8" minRefreshableVersion="3" recordCount="18" xr:uid="{0923F264-88BE-4101-87F8-2BE427AB6DCD}">
  <cacheSource type="worksheet">
    <worksheetSource ref="B2:G20" sheet="Data 2 for Pivot table" r:id="rId2"/>
  </cacheSource>
  <cacheFields count="7">
    <cacheField name="Date" numFmtId="14">
      <sharedItems containsSemiMixedTypes="0" containsNonDate="0" containsDate="1" containsString="0" minDate="2000-01-01T00:00:00" maxDate="2010-08-13T00:00:00" count="17">
        <d v="2000-01-08T00:00:00"/>
        <d v="2000-01-06T00:00:00"/>
        <d v="2000-01-17T00:00:00"/>
        <d v="2000-01-10T00:00:00"/>
        <d v="2004-03-06T00:00:00"/>
        <d v="2000-01-01T00:00:00"/>
        <d v="2000-01-03T00:00:00"/>
        <d v="2005-04-19T00:00:00"/>
        <d v="2000-01-20T00:00:00"/>
        <d v="2000-01-15T00:00:00"/>
        <d v="2007-02-13T00:00:00"/>
        <d v="2000-01-13T00:00:00"/>
        <d v="2000-01-11T00:00:00"/>
        <d v="2010-08-12T00:00:00"/>
        <d v="2000-01-07T00:00:00"/>
        <d v="2000-01-22T00:00:00"/>
        <d v="2000-01-04T00:00:00"/>
      </sharedItems>
      <fieldGroup par="6" base="0">
        <rangePr groupBy="months" startDate="2000-01-01T00:00:00" endDate="2010-08-13T00:00:00"/>
        <groupItems count="14">
          <s v="&lt;01-01-2000"/>
          <s v="Jan"/>
          <s v="Feb"/>
          <s v="Mar"/>
          <s v="Apr"/>
          <s v="May"/>
          <s v="Jun"/>
          <s v="Jul"/>
          <s v="Aug"/>
          <s v="Sep"/>
          <s v="Oct"/>
          <s v="Nov"/>
          <s v="Dec"/>
          <s v="&gt;13-08-2010"/>
        </groupItems>
      </fieldGroup>
    </cacheField>
    <cacheField name="Items" numFmtId="0">
      <sharedItems count="10">
        <s v="Bass Headphones"/>
        <s v="Footwear"/>
        <s v="Mobile"/>
        <s v="Smartwatch"/>
        <s v="Beard trimmer"/>
        <s v="Deodarant"/>
        <s v="Shaving cream"/>
        <s v="Wrist watch"/>
        <s v="Earbuds"/>
        <s v="Jackets"/>
      </sharedItems>
    </cacheField>
    <cacheField name="Region" numFmtId="0">
      <sharedItems count="4">
        <s v="East"/>
        <s v="North"/>
        <s v="South"/>
        <s v="West"/>
      </sharedItems>
    </cacheField>
    <cacheField name="Cost Price" numFmtId="167">
      <sharedItems containsSemiMixedTypes="0" containsString="0" containsNumber="1" containsInteger="1" minValue="2000" maxValue="50000"/>
    </cacheField>
    <cacheField name="Selling Price" numFmtId="167">
      <sharedItems containsSemiMixedTypes="0" containsString="0" containsNumber="1" containsInteger="1" minValue="5000" maxValue="55000"/>
    </cacheField>
    <cacheField name="Profit / Loss" numFmtId="167">
      <sharedItems containsSemiMixedTypes="0" containsString="0" containsNumber="1" containsInteger="1" minValue="-12000" maxValue="20000"/>
    </cacheField>
    <cacheField name="Years" numFmtId="0" databaseField="0">
      <fieldGroup base="0">
        <rangePr groupBy="years" startDate="2000-01-01T00:00:00" endDate="2010-08-13T00:00:00"/>
        <groupItems count="13">
          <s v="&lt;01-01-2000"/>
          <s v="2000"/>
          <s v="2001"/>
          <s v="2002"/>
          <s v="2003"/>
          <s v="2004"/>
          <s v="2005"/>
          <s v="2006"/>
          <s v="2007"/>
          <s v="2008"/>
          <s v="2009"/>
          <s v="2010"/>
          <s v="&gt;13-08-2010"/>
        </groupItems>
      </fieldGroup>
    </cacheField>
  </cacheFields>
  <extLst>
    <ext xmlns:x14="http://schemas.microsoft.com/office/spreadsheetml/2009/9/main" uri="{725AE2AE-9491-48be-B2B4-4EB974FC3084}">
      <x14:pivotCacheDefinition pivotCacheId="43525920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 NISHTHA JAIN" refreshedDate="45719.934290509256" createdVersion="8" refreshedVersion="8" minRefreshableVersion="3" recordCount="18" xr:uid="{DD590CF6-DB93-48B4-8DED-BE34F17E7E7E}">
  <cacheSource type="worksheet">
    <worksheetSource ref="B2:G20" sheet="Data for Pivot table"/>
  </cacheSource>
  <cacheFields count="6">
    <cacheField name="Date" numFmtId="14">
      <sharedItems containsSemiMixedTypes="0" containsNonDate="0" containsDate="1" containsString="0" minDate="2000-01-01T00:00:00" maxDate="2010-08-13T00:00:00"/>
    </cacheField>
    <cacheField name="Items" numFmtId="0">
      <sharedItems count="10">
        <s v="Bass Headphones"/>
        <s v="Footwear"/>
        <s v="Mobile"/>
        <s v="Smartwatch"/>
        <s v="Beard trimmer"/>
        <s v="Deodarant"/>
        <s v="Shaving cream"/>
        <s v="Wrist watch"/>
        <s v="Earbuds"/>
        <s v="Jackets"/>
      </sharedItems>
    </cacheField>
    <cacheField name="Region" numFmtId="0">
      <sharedItems count="4">
        <s v="East"/>
        <s v="North"/>
        <s v="South"/>
        <s v="West"/>
      </sharedItems>
    </cacheField>
    <cacheField name="Cost Price" numFmtId="167">
      <sharedItems containsSemiMixedTypes="0" containsString="0" containsNumber="1" containsInteger="1" minValue="2000" maxValue="50000"/>
    </cacheField>
    <cacheField name="Selling Price" numFmtId="167">
      <sharedItems containsSemiMixedTypes="0" containsString="0" containsNumber="1" containsInteger="1" minValue="5000" maxValue="55000"/>
    </cacheField>
    <cacheField name="Profit / Loss" numFmtId="167">
      <sharedItems containsSemiMixedTypes="0" containsString="0" containsNumber="1" containsInteger="1" minValue="-12000" maxValue="20000"/>
    </cacheField>
  </cacheFields>
  <extLst>
    <ext xmlns:x14="http://schemas.microsoft.com/office/spreadsheetml/2009/9/main" uri="{725AE2AE-9491-48be-B2B4-4EB974FC3084}">
      <x14:pivotCacheDefinition pivotCacheId="101012493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 NISHTHA JAIN" refreshedDate="45719.953115625001" createdVersion="8" refreshedVersion="8" minRefreshableVersion="3" recordCount="18" xr:uid="{0E7C5B06-EEB7-446B-9135-A9FC71624DCE}">
  <cacheSource type="worksheet">
    <worksheetSource ref="C2:H20" sheet="Data for Pivot chart"/>
  </cacheSource>
  <cacheFields count="6">
    <cacheField name="Date" numFmtId="14">
      <sharedItems containsSemiMixedTypes="0" containsNonDate="0" containsDate="1" containsString="0" minDate="2000-01-01T00:00:00" maxDate="2010-08-13T00:00:00"/>
    </cacheField>
    <cacheField name="Items" numFmtId="0">
      <sharedItems count="10">
        <s v="Bass Headphones"/>
        <s v="Footwear"/>
        <s v="Mobile"/>
        <s v="Smartwatch"/>
        <s v="Beard trimmer"/>
        <s v="Deodarant"/>
        <s v="Shaving cream"/>
        <s v="Wrist watch"/>
        <s v="Earbuds"/>
        <s v="Jackets"/>
      </sharedItems>
    </cacheField>
    <cacheField name="Region" numFmtId="0">
      <sharedItems count="4">
        <s v="East"/>
        <s v="North"/>
        <s v="South"/>
        <s v="West"/>
      </sharedItems>
    </cacheField>
    <cacheField name="Cost Price" numFmtId="167">
      <sharedItems containsSemiMixedTypes="0" containsString="0" containsNumber="1" containsInteger="1" minValue="2000" maxValue="50000"/>
    </cacheField>
    <cacheField name="Selling Price" numFmtId="167">
      <sharedItems containsSemiMixedTypes="0" containsString="0" containsNumber="1" containsInteger="1" minValue="5000" maxValue="55000"/>
    </cacheField>
    <cacheField name="Profit / Loss" numFmtId="167">
      <sharedItems containsSemiMixedTypes="0" containsString="0" containsNumber="1" containsInteger="1" minValue="-12000" maxValue="25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 NISHTHA JAIN" refreshedDate="45719.965155324076" createdVersion="8" refreshedVersion="8" minRefreshableVersion="3" recordCount="18" xr:uid="{BB849E95-4C49-43D5-919C-76A7A0C27859}">
  <cacheSource type="worksheet">
    <worksheetSource ref="B2:G20" sheet="Pivot Timeline"/>
  </cacheSource>
  <cacheFields count="6">
    <cacheField name="Date" numFmtId="14">
      <sharedItems containsSemiMixedTypes="0" containsNonDate="0" containsDate="1" containsString="0" minDate="2000-01-01T00:00:00" maxDate="2010-08-13T00:00:00" count="17">
        <d v="2005-01-08T00:00:00"/>
        <d v="2000-01-06T00:00:00"/>
        <d v="2000-01-17T00:00:00"/>
        <d v="2000-01-10T00:00:00"/>
        <d v="2004-03-06T00:00:00"/>
        <d v="2000-01-01T00:00:00"/>
        <d v="2000-01-03T00:00:00"/>
        <d v="2005-04-19T00:00:00"/>
        <d v="2000-01-20T00:00:00"/>
        <d v="2000-01-15T00:00:00"/>
        <d v="2007-02-13T00:00:00"/>
        <d v="2000-01-13T00:00:00"/>
        <d v="2000-01-11T00:00:00"/>
        <d v="2010-08-12T00:00:00"/>
        <d v="2000-01-07T00:00:00"/>
        <d v="2010-01-22T00:00:00"/>
        <d v="2000-01-04T00:00:00"/>
      </sharedItems>
    </cacheField>
    <cacheField name="Items" numFmtId="0">
      <sharedItems count="10">
        <s v="Bass Headphones"/>
        <s v="Footwear"/>
        <s v="Mobile"/>
        <s v="Smartwatch"/>
        <s v="Beard trimmer"/>
        <s v="Deodarant"/>
        <s v="Shaving cream"/>
        <s v="Wrist watch"/>
        <s v="Earbuds"/>
        <s v="Jackets"/>
      </sharedItems>
    </cacheField>
    <cacheField name="Region" numFmtId="0">
      <sharedItems count="4">
        <s v="East"/>
        <s v="North"/>
        <s v="South"/>
        <s v="West"/>
      </sharedItems>
    </cacheField>
    <cacheField name="Cost Price" numFmtId="167">
      <sharedItems containsSemiMixedTypes="0" containsString="0" containsNumber="1" containsInteger="1" minValue="2000" maxValue="50000"/>
    </cacheField>
    <cacheField name="Selling Price" numFmtId="167">
      <sharedItems containsSemiMixedTypes="0" containsString="0" containsNumber="1" containsInteger="1" minValue="5000" maxValue="55000"/>
    </cacheField>
    <cacheField name="Profit / Loss" numFmtId="167">
      <sharedItems containsSemiMixedTypes="0" containsString="0" containsNumber="1" containsInteger="1" minValue="-12000" maxValue="20000"/>
    </cacheField>
  </cacheFields>
  <extLst>
    <ext xmlns:x14="http://schemas.microsoft.com/office/spreadsheetml/2009/9/main" uri="{725AE2AE-9491-48be-B2B4-4EB974FC3084}">
      <x14:pivotCacheDefinition pivotCacheId="471729736"/>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 NISHTHA JAIN" refreshedDate="45721.934906944443" createdVersion="8" refreshedVersion="8" minRefreshableVersion="3" recordCount="7" xr:uid="{FD41BC19-8F0B-4A3F-B820-BBD8F5C3EA3E}">
  <cacheSource type="worksheet">
    <worksheetSource ref="B6:G13" sheet="Clean sales data" r:id="rId2"/>
  </cacheSource>
  <cacheFields count="6">
    <cacheField name="Products" numFmtId="0">
      <sharedItems count="7">
        <s v="Antiques"/>
        <s v="Bottles"/>
        <s v="Cars"/>
        <s v="Fish Aquarium"/>
        <s v="Drones"/>
        <s v="Exquisite jewellery"/>
        <s v="Horses"/>
      </sharedItems>
    </cacheField>
    <cacheField name="2012" numFmtId="0">
      <sharedItems containsSemiMixedTypes="0" containsString="0" containsNumber="1" containsInteger="1" minValue="44244" maxValue="597406"/>
    </cacheField>
    <cacheField name="2013" numFmtId="0">
      <sharedItems containsSemiMixedTypes="0" containsString="0" containsNumber="1" containsInteger="1" minValue="60000" maxValue="310416"/>
    </cacheField>
    <cacheField name="2014" numFmtId="0">
      <sharedItems containsSemiMixedTypes="0" containsString="0" containsNumber="1" containsInteger="1" minValue="18073" maxValue="530619"/>
    </cacheField>
    <cacheField name="2015" numFmtId="0">
      <sharedItems containsSemiMixedTypes="0" containsString="0" containsNumber="1" containsInteger="1" minValue="38000" maxValue="484888"/>
    </cacheField>
    <cacheField name="2016" numFmtId="0">
      <sharedItems containsSemiMixedTypes="0" containsString="0" containsNumber="1" containsInteger="1" minValue="87494" maxValue="921000"/>
    </cacheField>
  </cacheFields>
  <extLst>
    <ext xmlns:x14="http://schemas.microsoft.com/office/spreadsheetml/2009/9/main" uri="{725AE2AE-9491-48be-B2B4-4EB974FC3084}">
      <x14:pivotCacheDefinition pivotCacheId="96936550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rit Gupta" refreshedDate="46015.360346990739" createdVersion="8" refreshedVersion="8" minRefreshableVersion="3" recordCount="20" xr:uid="{4B1CA882-DC9D-4392-90DE-A24EEEE743E6}">
  <cacheSource type="worksheet">
    <worksheetSource ref="A1:E21" sheet="Sheet4"/>
  </cacheSource>
  <cacheFields count="7">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x v="0"/>
    <n v="2000"/>
    <n v="5000"/>
    <n v="3000"/>
  </r>
  <r>
    <x v="1"/>
    <x v="1"/>
    <x v="0"/>
    <n v="4000"/>
    <n v="6000"/>
    <n v="2000"/>
  </r>
  <r>
    <x v="2"/>
    <x v="2"/>
    <x v="0"/>
    <n v="6000"/>
    <n v="8000"/>
    <n v="2000"/>
  </r>
  <r>
    <x v="3"/>
    <x v="2"/>
    <x v="1"/>
    <n v="8000"/>
    <n v="10000"/>
    <n v="2000"/>
  </r>
  <r>
    <x v="4"/>
    <x v="3"/>
    <x v="0"/>
    <n v="10000"/>
    <n v="20000"/>
    <n v="10000"/>
  </r>
  <r>
    <x v="5"/>
    <x v="4"/>
    <x v="1"/>
    <n v="14000"/>
    <n v="18000"/>
    <n v="4000"/>
  </r>
  <r>
    <x v="6"/>
    <x v="5"/>
    <x v="1"/>
    <n v="16000"/>
    <n v="20000"/>
    <n v="4000"/>
  </r>
  <r>
    <x v="7"/>
    <x v="5"/>
    <x v="1"/>
    <n v="18000"/>
    <n v="25000"/>
    <n v="7000"/>
  </r>
  <r>
    <x v="8"/>
    <x v="6"/>
    <x v="1"/>
    <n v="20000"/>
    <n v="28000"/>
    <n v="8000"/>
  </r>
  <r>
    <x v="3"/>
    <x v="7"/>
    <x v="1"/>
    <n v="25000"/>
    <n v="30000"/>
    <n v="5000"/>
  </r>
  <r>
    <x v="9"/>
    <x v="0"/>
    <x v="2"/>
    <n v="28000"/>
    <n v="30000"/>
    <n v="2000"/>
  </r>
  <r>
    <x v="10"/>
    <x v="8"/>
    <x v="2"/>
    <n v="30000"/>
    <n v="38000"/>
    <n v="8000"/>
  </r>
  <r>
    <x v="11"/>
    <x v="9"/>
    <x v="2"/>
    <n v="20000"/>
    <n v="40000"/>
    <n v="20000"/>
  </r>
  <r>
    <x v="12"/>
    <x v="4"/>
    <x v="3"/>
    <n v="36000"/>
    <n v="30000"/>
    <n v="-6000"/>
  </r>
  <r>
    <x v="13"/>
    <x v="4"/>
    <x v="3"/>
    <n v="50000"/>
    <n v="55000"/>
    <n v="5000"/>
  </r>
  <r>
    <x v="14"/>
    <x v="8"/>
    <x v="3"/>
    <n v="38000"/>
    <n v="42000"/>
    <n v="4000"/>
  </r>
  <r>
    <x v="15"/>
    <x v="2"/>
    <x v="3"/>
    <n v="40000"/>
    <n v="35000"/>
    <n v="-5000"/>
  </r>
  <r>
    <x v="16"/>
    <x v="6"/>
    <x v="3"/>
    <n v="42000"/>
    <n v="30000"/>
    <n v="-12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d v="2005-01-08T00:00:00"/>
    <x v="0"/>
    <x v="0"/>
    <n v="2000"/>
    <n v="5000"/>
    <n v="3000"/>
  </r>
  <r>
    <d v="2000-01-06T00:00:00"/>
    <x v="1"/>
    <x v="0"/>
    <n v="4000"/>
    <n v="6000"/>
    <n v="2000"/>
  </r>
  <r>
    <d v="2000-01-17T00:00:00"/>
    <x v="2"/>
    <x v="0"/>
    <n v="6000"/>
    <n v="8000"/>
    <n v="2000"/>
  </r>
  <r>
    <d v="2000-01-10T00:00:00"/>
    <x v="2"/>
    <x v="1"/>
    <n v="8000"/>
    <n v="10000"/>
    <n v="2000"/>
  </r>
  <r>
    <d v="2004-03-06T00:00:00"/>
    <x v="3"/>
    <x v="0"/>
    <n v="10000"/>
    <n v="20000"/>
    <n v="10000"/>
  </r>
  <r>
    <d v="2000-01-01T00:00:00"/>
    <x v="4"/>
    <x v="1"/>
    <n v="14000"/>
    <n v="18000"/>
    <n v="4000"/>
  </r>
  <r>
    <d v="2000-01-03T00:00:00"/>
    <x v="5"/>
    <x v="1"/>
    <n v="16000"/>
    <n v="20000"/>
    <n v="4000"/>
  </r>
  <r>
    <d v="2005-04-19T00:00:00"/>
    <x v="5"/>
    <x v="1"/>
    <n v="18000"/>
    <n v="25000"/>
    <n v="7000"/>
  </r>
  <r>
    <d v="2000-01-20T00:00:00"/>
    <x v="6"/>
    <x v="1"/>
    <n v="20000"/>
    <n v="28000"/>
    <n v="8000"/>
  </r>
  <r>
    <d v="2000-01-10T00:00:00"/>
    <x v="7"/>
    <x v="1"/>
    <n v="25000"/>
    <n v="30000"/>
    <n v="5000"/>
  </r>
  <r>
    <d v="2000-01-15T00:00:00"/>
    <x v="0"/>
    <x v="2"/>
    <n v="28000"/>
    <n v="30000"/>
    <n v="2000"/>
  </r>
  <r>
    <d v="2007-02-13T00:00:00"/>
    <x v="8"/>
    <x v="2"/>
    <n v="30000"/>
    <n v="38000"/>
    <n v="8000"/>
  </r>
  <r>
    <d v="2000-01-13T00:00:00"/>
    <x v="9"/>
    <x v="2"/>
    <n v="20000"/>
    <n v="40000"/>
    <n v="20000"/>
  </r>
  <r>
    <d v="2000-01-11T00:00:00"/>
    <x v="4"/>
    <x v="3"/>
    <n v="36000"/>
    <n v="30000"/>
    <n v="-6000"/>
  </r>
  <r>
    <d v="2010-08-12T00:00:00"/>
    <x v="4"/>
    <x v="3"/>
    <n v="50000"/>
    <n v="55000"/>
    <n v="5000"/>
  </r>
  <r>
    <d v="2000-01-07T00:00:00"/>
    <x v="8"/>
    <x v="3"/>
    <n v="38000"/>
    <n v="42000"/>
    <n v="4000"/>
  </r>
  <r>
    <d v="2010-01-22T00:00:00"/>
    <x v="2"/>
    <x v="3"/>
    <n v="40000"/>
    <n v="35000"/>
    <n v="-5000"/>
  </r>
  <r>
    <d v="2000-01-04T00:00:00"/>
    <x v="6"/>
    <x v="3"/>
    <n v="42000"/>
    <n v="30000"/>
    <n v="-12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d v="2000-01-08T00:00:00"/>
    <x v="0"/>
    <x v="0"/>
    <n v="2000"/>
    <n v="5000"/>
    <n v="3000"/>
  </r>
  <r>
    <d v="2000-01-06T00:00:00"/>
    <x v="1"/>
    <x v="0"/>
    <n v="4000"/>
    <n v="15000"/>
    <n v="11000"/>
  </r>
  <r>
    <d v="2000-01-17T00:00:00"/>
    <x v="2"/>
    <x v="0"/>
    <n v="6000"/>
    <n v="8000"/>
    <n v="2000"/>
  </r>
  <r>
    <d v="2000-01-10T00:00:00"/>
    <x v="2"/>
    <x v="1"/>
    <n v="8000"/>
    <n v="10000"/>
    <n v="2000"/>
  </r>
  <r>
    <d v="2004-03-06T00:00:00"/>
    <x v="3"/>
    <x v="0"/>
    <n v="10000"/>
    <n v="20000"/>
    <n v="10000"/>
  </r>
  <r>
    <d v="2000-01-01T00:00:00"/>
    <x v="4"/>
    <x v="1"/>
    <n v="14000"/>
    <n v="18000"/>
    <n v="4000"/>
  </r>
  <r>
    <d v="2000-01-03T00:00:00"/>
    <x v="5"/>
    <x v="1"/>
    <n v="16000"/>
    <n v="20000"/>
    <n v="4000"/>
  </r>
  <r>
    <d v="2005-04-19T00:00:00"/>
    <x v="5"/>
    <x v="1"/>
    <n v="18000"/>
    <n v="25000"/>
    <n v="7000"/>
  </r>
  <r>
    <d v="2000-01-20T00:00:00"/>
    <x v="6"/>
    <x v="1"/>
    <n v="20000"/>
    <n v="28000"/>
    <n v="8000"/>
  </r>
  <r>
    <d v="2000-01-10T00:00:00"/>
    <x v="7"/>
    <x v="1"/>
    <n v="25000"/>
    <n v="50000"/>
    <n v="25000"/>
  </r>
  <r>
    <d v="2000-01-15T00:00:00"/>
    <x v="0"/>
    <x v="2"/>
    <n v="28000"/>
    <n v="30000"/>
    <n v="2000"/>
  </r>
  <r>
    <d v="2007-02-13T00:00:00"/>
    <x v="8"/>
    <x v="2"/>
    <n v="30000"/>
    <n v="38000"/>
    <n v="8000"/>
  </r>
  <r>
    <d v="2000-01-13T00:00:00"/>
    <x v="9"/>
    <x v="2"/>
    <n v="20000"/>
    <n v="40000"/>
    <n v="20000"/>
  </r>
  <r>
    <d v="2000-01-11T00:00:00"/>
    <x v="4"/>
    <x v="3"/>
    <n v="36000"/>
    <n v="30000"/>
    <n v="-6000"/>
  </r>
  <r>
    <d v="2010-08-12T00:00:00"/>
    <x v="4"/>
    <x v="3"/>
    <n v="50000"/>
    <n v="55000"/>
    <n v="5000"/>
  </r>
  <r>
    <d v="2000-01-07T00:00:00"/>
    <x v="8"/>
    <x v="3"/>
    <n v="38000"/>
    <n v="42000"/>
    <n v="4000"/>
  </r>
  <r>
    <d v="2000-01-22T00:00:00"/>
    <x v="2"/>
    <x v="3"/>
    <n v="40000"/>
    <n v="35000"/>
    <n v="-5000"/>
  </r>
  <r>
    <d v="2000-01-04T00:00:00"/>
    <x v="6"/>
    <x v="3"/>
    <n v="42000"/>
    <n v="30000"/>
    <n v="-12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x v="0"/>
    <n v="2000"/>
    <n v="5000"/>
    <n v="3000"/>
  </r>
  <r>
    <x v="1"/>
    <x v="1"/>
    <x v="0"/>
    <n v="4000"/>
    <n v="6000"/>
    <n v="2000"/>
  </r>
  <r>
    <x v="2"/>
    <x v="2"/>
    <x v="0"/>
    <n v="6000"/>
    <n v="8000"/>
    <n v="2000"/>
  </r>
  <r>
    <x v="3"/>
    <x v="2"/>
    <x v="1"/>
    <n v="8000"/>
    <n v="10000"/>
    <n v="2000"/>
  </r>
  <r>
    <x v="4"/>
    <x v="3"/>
    <x v="0"/>
    <n v="10000"/>
    <n v="20000"/>
    <n v="10000"/>
  </r>
  <r>
    <x v="5"/>
    <x v="4"/>
    <x v="1"/>
    <n v="14000"/>
    <n v="18000"/>
    <n v="4000"/>
  </r>
  <r>
    <x v="6"/>
    <x v="5"/>
    <x v="1"/>
    <n v="16000"/>
    <n v="20000"/>
    <n v="4000"/>
  </r>
  <r>
    <x v="7"/>
    <x v="5"/>
    <x v="1"/>
    <n v="18000"/>
    <n v="25000"/>
    <n v="7000"/>
  </r>
  <r>
    <x v="8"/>
    <x v="6"/>
    <x v="1"/>
    <n v="20000"/>
    <n v="28000"/>
    <n v="8000"/>
  </r>
  <r>
    <x v="3"/>
    <x v="7"/>
    <x v="1"/>
    <n v="25000"/>
    <n v="30000"/>
    <n v="5000"/>
  </r>
  <r>
    <x v="9"/>
    <x v="0"/>
    <x v="2"/>
    <n v="28000"/>
    <n v="30000"/>
    <n v="2000"/>
  </r>
  <r>
    <x v="10"/>
    <x v="8"/>
    <x v="2"/>
    <n v="30000"/>
    <n v="38000"/>
    <n v="8000"/>
  </r>
  <r>
    <x v="11"/>
    <x v="9"/>
    <x v="2"/>
    <n v="20000"/>
    <n v="40000"/>
    <n v="20000"/>
  </r>
  <r>
    <x v="12"/>
    <x v="4"/>
    <x v="3"/>
    <n v="36000"/>
    <n v="30000"/>
    <n v="-6000"/>
  </r>
  <r>
    <x v="13"/>
    <x v="4"/>
    <x v="3"/>
    <n v="50000"/>
    <n v="55000"/>
    <n v="5000"/>
  </r>
  <r>
    <x v="14"/>
    <x v="8"/>
    <x v="3"/>
    <n v="38000"/>
    <n v="42000"/>
    <n v="4000"/>
  </r>
  <r>
    <x v="15"/>
    <x v="2"/>
    <x v="3"/>
    <n v="40000"/>
    <n v="35000"/>
    <n v="-5000"/>
  </r>
  <r>
    <x v="16"/>
    <x v="6"/>
    <x v="3"/>
    <n v="42000"/>
    <n v="30000"/>
    <n v="-120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432521"/>
    <n v="227724"/>
    <n v="530619"/>
    <n v="182911"/>
    <n v="182000"/>
  </r>
  <r>
    <x v="1"/>
    <n v="44244"/>
    <n v="310416"/>
    <n v="123456"/>
    <n v="92490"/>
    <n v="921000"/>
  </r>
  <r>
    <x v="2"/>
    <n v="433796"/>
    <n v="191447"/>
    <n v="18073"/>
    <n v="484888"/>
    <n v="484000"/>
  </r>
  <r>
    <x v="3"/>
    <n v="50000"/>
    <n v="60000"/>
    <n v="30000"/>
    <n v="75120"/>
    <n v="87494"/>
  </r>
  <r>
    <x v="4"/>
    <n v="539770"/>
    <n v="125314"/>
    <n v="38178"/>
    <n v="419229"/>
    <n v="419000"/>
  </r>
  <r>
    <x v="5"/>
    <n v="597406"/>
    <n v="144037"/>
    <n v="362484"/>
    <n v="238034"/>
    <n v="238000"/>
  </r>
  <r>
    <x v="6"/>
    <n v="65000"/>
    <n v="123456"/>
    <n v="70000"/>
    <n v="38000"/>
    <n v="38000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C7C0FE-3FC1-4E5E-A3AE-AE1289D8D7FA}" name="PivotTable8"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7">
    <pivotField axis="axisRow"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axis="axisRow" showAll="0">
      <items count="4">
        <item x="2"/>
        <item x="0"/>
        <item x="1"/>
        <item t="default"/>
      </items>
    </pivotField>
    <pivotField dataField="1"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5">
    <field x="6"/>
    <field x="5"/>
    <field x="0"/>
    <field x="2"/>
    <field x="1"/>
  </rowFields>
  <rowItems count="7">
    <i>
      <x/>
    </i>
    <i>
      <x v="1"/>
    </i>
    <i>
      <x v="2"/>
    </i>
    <i>
      <x v="3"/>
    </i>
    <i>
      <x v="4"/>
    </i>
    <i>
      <x v="5"/>
    </i>
    <i t="grand">
      <x/>
    </i>
  </rowItems>
  <colFields count="1">
    <field x="-2"/>
  </colFields>
  <colItems count="2">
    <i>
      <x/>
    </i>
    <i i="1">
      <x v="1"/>
    </i>
  </colItems>
  <dataFields count="2">
    <dataField name="Sum of Sales" fld="3" baseField="0" baseItem="0"/>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7D7246-B3C3-462F-9D05-4C0D0A81BE0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fieldListSortAscending="1">
  <location ref="A3:B5" firstHeaderRow="1" firstDataRow="1" firstDataCol="1" rowPageCount="1" colPageCount="1"/>
  <pivotFields count="3">
    <pivotField axis="axisRow" showAll="0" defaultSubtotal="0">
      <items count="2">
        <item x="1"/>
        <item x="0"/>
      </items>
    </pivotField>
    <pivotField axis="axisPage" showAll="0">
      <items count="2">
        <item x="0"/>
        <item t="default"/>
      </items>
    </pivotField>
    <pivotField dataField="1" showAll="0"/>
  </pivotFields>
  <rowFields count="1">
    <field x="0"/>
  </rowFields>
  <rowItems count="2">
    <i>
      <x/>
    </i>
    <i>
      <x v="1"/>
    </i>
  </rowItems>
  <colItems count="1">
    <i/>
  </colItems>
  <pageFields count="1">
    <pageField fld="1" hier="-1"/>
  </pageFields>
  <dataFields count="1">
    <dataField name="$E$15" fld="2" baseField="0" baseItem="0"/>
  </dataFields>
  <formats count="5">
    <format dxfId="141">
      <pivotArea type="all" dataOnly="0" outline="0" fieldPosition="0"/>
    </format>
    <format dxfId="140">
      <pivotArea outline="0" collapsedLevelsAreSubtotals="1" fieldPosition="0"/>
    </format>
    <format dxfId="139">
      <pivotArea field="0" type="button" dataOnly="0" labelOnly="1" outline="0" axis="axisRow" fieldPosition="0"/>
    </format>
    <format dxfId="138">
      <pivotArea dataOnly="0" labelOnly="1" fieldPosition="0">
        <references count="1">
          <reference field="0" count="0"/>
        </references>
      </pivotArea>
    </format>
    <format dxfId="1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4D6FE5-581A-4E6F-82C7-D0A14458426E}" name="PivotTable10"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3:D19" firstHeaderRow="1" firstDataRow="1" firstDataCol="2"/>
  <pivotFields count="7">
    <pivotField axis="axisRow" compact="0" numFmtId="14" outline="0" showAll="0" insertBlankRow="1">
      <items count="15">
        <item x="0"/>
        <item x="1"/>
        <item x="2"/>
        <item x="3"/>
        <item x="4"/>
        <item x="5"/>
        <item x="6"/>
        <item x="7"/>
        <item x="8"/>
        <item x="9"/>
        <item x="10"/>
        <item x="11"/>
        <item x="12"/>
        <item x="13"/>
        <item t="default"/>
      </items>
    </pivotField>
    <pivotField compact="0" outline="0" showAll="0" insertBlankRow="1"/>
    <pivotField compact="0" outline="0" showAll="0" insertBlankRow="1"/>
    <pivotField compact="0" numFmtId="167" outline="0" showAll="0" insertBlankRow="1"/>
    <pivotField dataField="1" compact="0" numFmtId="167" outline="0" showAll="0" insertBlankRow="1"/>
    <pivotField compact="0" numFmtId="167" outline="0" showAll="0" insertBlankRow="1"/>
    <pivotField axis="axisRow" compact="0" outline="0" showAll="0" insertBlankRow="1">
      <items count="14">
        <item x="0"/>
        <item x="1"/>
        <item x="2"/>
        <item x="3"/>
        <item x="4"/>
        <item x="5"/>
        <item x="6"/>
        <item x="7"/>
        <item x="8"/>
        <item x="9"/>
        <item x="10"/>
        <item x="11"/>
        <item x="12"/>
        <item t="default"/>
      </items>
    </pivotField>
  </pivotFields>
  <rowFields count="2">
    <field x="6"/>
    <field x="0"/>
  </rowFields>
  <rowItems count="16">
    <i>
      <x v="1"/>
      <x v="1"/>
    </i>
    <i t="default">
      <x v="1"/>
    </i>
    <i t="blank">
      <x v="1"/>
    </i>
    <i>
      <x v="5"/>
      <x v="3"/>
    </i>
    <i t="default">
      <x v="5"/>
    </i>
    <i t="blank">
      <x v="5"/>
    </i>
    <i>
      <x v="6"/>
      <x v="4"/>
    </i>
    <i t="default">
      <x v="6"/>
    </i>
    <i t="blank">
      <x v="6"/>
    </i>
    <i>
      <x v="8"/>
      <x v="2"/>
    </i>
    <i t="default">
      <x v="8"/>
    </i>
    <i t="blank">
      <x v="8"/>
    </i>
    <i>
      <x v="11"/>
      <x v="8"/>
    </i>
    <i t="default">
      <x v="11"/>
    </i>
    <i t="blank">
      <x v="11"/>
    </i>
    <i t="grand">
      <x/>
    </i>
  </rowItems>
  <colItems count="1">
    <i/>
  </colItems>
  <dataFields count="1">
    <dataField name="Sum of Selling Price" fld="4" baseField="0" baseItem="0"/>
  </dataFields>
  <pivotTableStyleInfo name="PivotStyleMedium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097DB6-05E7-47B8-9845-8B84A656D7E7}" name="Pivot Tabl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15" firstHeaderRow="1" firstDataRow="2" firstDataCol="1"/>
  <pivotFields count="6">
    <pivotField numFmtId="14" showAll="0" insertBlankRow="1"/>
    <pivotField axis="axisRow" showAll="0" insertBlankRow="1">
      <items count="11">
        <item x="0"/>
        <item x="4"/>
        <item x="5"/>
        <item x="8"/>
        <item x="1"/>
        <item x="9"/>
        <item x="2"/>
        <item x="6"/>
        <item x="3"/>
        <item x="7"/>
        <item t="default"/>
      </items>
    </pivotField>
    <pivotField axis="axisCol" showAll="0" insertBlankRow="1">
      <items count="5">
        <item x="0"/>
        <item x="1"/>
        <item x="2"/>
        <item x="3"/>
        <item t="default"/>
      </items>
    </pivotField>
    <pivotField numFmtId="167" showAll="0" insertBlankRow="1"/>
    <pivotField numFmtId="167" showAll="0" insertBlankRow="1"/>
    <pivotField dataField="1" numFmtId="167" showAll="0" insertBlankRow="1"/>
  </pivotFields>
  <rowFields count="1">
    <field x="1"/>
  </rowFields>
  <rowItems count="11">
    <i>
      <x/>
    </i>
    <i>
      <x v="1"/>
    </i>
    <i>
      <x v="2"/>
    </i>
    <i>
      <x v="3"/>
    </i>
    <i>
      <x v="4"/>
    </i>
    <i>
      <x v="5"/>
    </i>
    <i>
      <x v="6"/>
    </i>
    <i>
      <x v="7"/>
    </i>
    <i>
      <x v="8"/>
    </i>
    <i>
      <x v="9"/>
    </i>
    <i t="grand">
      <x/>
    </i>
  </rowItems>
  <colFields count="1">
    <field x="2"/>
  </colFields>
  <colItems count="5">
    <i>
      <x/>
    </i>
    <i>
      <x v="1"/>
    </i>
    <i>
      <x v="2"/>
    </i>
    <i>
      <x v="3"/>
    </i>
    <i t="grand">
      <x/>
    </i>
  </colItems>
  <dataFields count="1">
    <dataField name="Sum of Profit / Loss" fld="5" baseField="0" baseItem="0" numFmtId="167"/>
  </dataFields>
  <formats count="2">
    <format dxfId="136">
      <pivotArea type="all" dataOnly="0" outline="0" fieldPosition="0"/>
    </format>
    <format dxfId="135">
      <pivotArea type="all" dataOnly="0" outline="0" fieldPosition="0"/>
    </format>
  </formats>
  <pivotTableStyleInfo name="PivotStyleDark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D8C33D-0D0F-4BFD-BC41-1754B118869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0" firstHeaderRow="1" firstDataRow="1" firstDataCol="1"/>
  <pivotFields count="6">
    <pivotField numFmtId="14" showAll="0" insertBlankRow="1"/>
    <pivotField axis="axisRow" showAll="0" insertBlankRow="1">
      <items count="11">
        <item x="0"/>
        <item x="4"/>
        <item x="5"/>
        <item x="8"/>
        <item x="1"/>
        <item x="9"/>
        <item x="2"/>
        <item x="6"/>
        <item x="3"/>
        <item x="7"/>
        <item t="default"/>
      </items>
    </pivotField>
    <pivotField axis="axisRow" showAll="0" insertBlankRow="1">
      <items count="5">
        <item h="1" x="0"/>
        <item h="1" x="1"/>
        <item h="1" x="2"/>
        <item x="3"/>
        <item t="default"/>
      </items>
    </pivotField>
    <pivotField numFmtId="167" showAll="0" insertBlankRow="1"/>
    <pivotField dataField="1" numFmtId="167" showAll="0" insertBlankRow="1"/>
    <pivotField numFmtId="167" showAll="0" insertBlankRow="1"/>
  </pivotFields>
  <rowFields count="2">
    <field x="2"/>
    <field x="1"/>
  </rowFields>
  <rowItems count="7">
    <i>
      <x v="3"/>
    </i>
    <i r="1">
      <x v="1"/>
    </i>
    <i r="1">
      <x v="3"/>
    </i>
    <i r="1">
      <x v="6"/>
    </i>
    <i r="1">
      <x v="7"/>
    </i>
    <i t="blank">
      <x v="3"/>
    </i>
    <i t="grand">
      <x/>
    </i>
  </rowItems>
  <colItems count="1">
    <i/>
  </colItems>
  <dataFields count="1">
    <dataField name="Sum of Selling Price" fld="4" baseField="0" baseItem="0" numFmtId="167"/>
  </dataFields>
  <formats count="20">
    <format dxfId="134">
      <pivotArea type="all" dataOnly="0" outline="0" fieldPosition="0"/>
    </format>
    <format dxfId="133">
      <pivotArea outline="0" collapsedLevelsAreSubtotals="1" fieldPosition="0"/>
    </format>
    <format dxfId="132">
      <pivotArea field="2" type="button" dataOnly="0" labelOnly="1" outline="0" axis="axisRow" fieldPosition="0"/>
    </format>
    <format dxfId="131">
      <pivotArea dataOnly="0" labelOnly="1" fieldPosition="0">
        <references count="1">
          <reference field="2" count="0"/>
        </references>
      </pivotArea>
    </format>
    <format dxfId="130">
      <pivotArea dataOnly="0" labelOnly="1" grandRow="1" outline="0" fieldPosition="0"/>
    </format>
    <format dxfId="129">
      <pivotArea dataOnly="0" labelOnly="1" fieldPosition="0">
        <references count="2">
          <reference field="1" count="4">
            <x v="0"/>
            <x v="4"/>
            <x v="6"/>
            <x v="8"/>
          </reference>
          <reference field="2" count="1" selected="0">
            <x v="0"/>
          </reference>
        </references>
      </pivotArea>
    </format>
    <format dxfId="128">
      <pivotArea dataOnly="0" labelOnly="1" fieldPosition="0">
        <references count="2">
          <reference field="1" count="5">
            <x v="1"/>
            <x v="2"/>
            <x v="6"/>
            <x v="7"/>
            <x v="9"/>
          </reference>
          <reference field="2" count="1" selected="0">
            <x v="1"/>
          </reference>
        </references>
      </pivotArea>
    </format>
    <format dxfId="127">
      <pivotArea dataOnly="0" labelOnly="1" fieldPosition="0">
        <references count="2">
          <reference field="1" count="3">
            <x v="0"/>
            <x v="3"/>
            <x v="5"/>
          </reference>
          <reference field="2" count="1" selected="0">
            <x v="2"/>
          </reference>
        </references>
      </pivotArea>
    </format>
    <format dxfId="126">
      <pivotArea dataOnly="0" labelOnly="1" fieldPosition="0">
        <references count="2">
          <reference field="1" count="4">
            <x v="1"/>
            <x v="3"/>
            <x v="6"/>
            <x v="7"/>
          </reference>
          <reference field="2" count="1" selected="0">
            <x v="3"/>
          </reference>
        </references>
      </pivotArea>
    </format>
    <format dxfId="125">
      <pivotArea dataOnly="0" labelOnly="1" outline="0" axis="axisValues" fieldPosition="0"/>
    </format>
    <format dxfId="124">
      <pivotArea type="all" dataOnly="0" outline="0" fieldPosition="0"/>
    </format>
    <format dxfId="123">
      <pivotArea outline="0" collapsedLevelsAreSubtotals="1" fieldPosition="0"/>
    </format>
    <format dxfId="122">
      <pivotArea field="2" type="button" dataOnly="0" labelOnly="1" outline="0" axis="axisRow" fieldPosition="0"/>
    </format>
    <format dxfId="121">
      <pivotArea dataOnly="0" labelOnly="1" fieldPosition="0">
        <references count="1">
          <reference field="2" count="0"/>
        </references>
      </pivotArea>
    </format>
    <format dxfId="120">
      <pivotArea dataOnly="0" labelOnly="1" grandRow="1" outline="0" fieldPosition="0"/>
    </format>
    <format dxfId="119">
      <pivotArea dataOnly="0" labelOnly="1" fieldPosition="0">
        <references count="2">
          <reference field="1" count="4">
            <x v="0"/>
            <x v="4"/>
            <x v="6"/>
            <x v="8"/>
          </reference>
          <reference field="2" count="1" selected="0">
            <x v="0"/>
          </reference>
        </references>
      </pivotArea>
    </format>
    <format dxfId="118">
      <pivotArea dataOnly="0" labelOnly="1" fieldPosition="0">
        <references count="2">
          <reference field="1" count="5">
            <x v="1"/>
            <x v="2"/>
            <x v="6"/>
            <x v="7"/>
            <x v="9"/>
          </reference>
          <reference field="2" count="1" selected="0">
            <x v="1"/>
          </reference>
        </references>
      </pivotArea>
    </format>
    <format dxfId="117">
      <pivotArea dataOnly="0" labelOnly="1" fieldPosition="0">
        <references count="2">
          <reference field="1" count="3">
            <x v="0"/>
            <x v="3"/>
            <x v="5"/>
          </reference>
          <reference field="2" count="1" selected="0">
            <x v="2"/>
          </reference>
        </references>
      </pivotArea>
    </format>
    <format dxfId="116">
      <pivotArea dataOnly="0" labelOnly="1" fieldPosition="0">
        <references count="2">
          <reference field="1" count="4">
            <x v="1"/>
            <x v="3"/>
            <x v="6"/>
            <x v="7"/>
          </reference>
          <reference field="2" count="1" selected="0">
            <x v="3"/>
          </reference>
        </references>
      </pivotArea>
    </format>
    <format dxfId="115">
      <pivotArea dataOnly="0" labelOnly="1" outline="0" axis="axisValues" fieldPosition="0"/>
    </format>
  </formats>
  <pivotTableStyleInfo name="PivotStyleDark1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F9F562-FBEB-4C1B-8098-0A5E157B7C26}"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C22" firstHeaderRow="1" firstDataRow="1" firstDataCol="1"/>
  <pivotFields count="6">
    <pivotField numFmtId="14" showAll="0">
      <extLst>
        <ext xmlns:x14="http://schemas.microsoft.com/office/spreadsheetml/2009/9/main" uri="{2946ED86-A175-432a-8AC1-64E0C546D7DE}">
          <x14:pivotField fillDownLabels="1"/>
        </ext>
      </extLst>
    </pivotField>
    <pivotField axis="axisRow" showAll="0">
      <items count="11">
        <item x="0"/>
        <item x="4"/>
        <item x="5"/>
        <item x="8"/>
        <item x="1"/>
        <item x="9"/>
        <item x="2"/>
        <item x="6"/>
        <item x="3"/>
        <item x="7"/>
        <item t="default"/>
      </items>
      <extLst>
        <ext xmlns:x14="http://schemas.microsoft.com/office/spreadsheetml/2009/9/main" uri="{2946ED86-A175-432a-8AC1-64E0C546D7DE}">
          <x14:pivotField fillDownLabels="1"/>
        </ext>
      </extLst>
    </pivotField>
    <pivotField axis="axisRow" showAll="0">
      <items count="5">
        <item x="0"/>
        <item x="1"/>
        <item x="2"/>
        <item x="3"/>
        <item t="default"/>
      </items>
      <extLst>
        <ext xmlns:x14="http://schemas.microsoft.com/office/spreadsheetml/2009/9/main" uri="{2946ED86-A175-432a-8AC1-64E0C546D7DE}">
          <x14:pivotField fillDownLabels="1"/>
        </ext>
      </extLst>
    </pivotField>
    <pivotField numFmtId="167" showAll="0">
      <extLst>
        <ext xmlns:x14="http://schemas.microsoft.com/office/spreadsheetml/2009/9/main" uri="{2946ED86-A175-432a-8AC1-64E0C546D7DE}">
          <x14:pivotField fillDownLabels="1"/>
        </ext>
      </extLst>
    </pivotField>
    <pivotField dataField="1" numFmtId="167" showAll="0">
      <extLst>
        <ext xmlns:x14="http://schemas.microsoft.com/office/spreadsheetml/2009/9/main" uri="{2946ED86-A175-432a-8AC1-64E0C546D7DE}">
          <x14:pivotField fillDownLabels="1"/>
        </ext>
      </extLst>
    </pivotField>
    <pivotField numFmtId="167" showAll="0">
      <extLst>
        <ext xmlns:x14="http://schemas.microsoft.com/office/spreadsheetml/2009/9/main" uri="{2946ED86-A175-432a-8AC1-64E0C546D7DE}">
          <x14:pivotField fillDownLabels="1"/>
        </ext>
      </extLst>
    </pivotField>
  </pivotFields>
  <rowFields count="2">
    <field x="2"/>
    <field x="1"/>
  </rowFields>
  <rowItems count="21">
    <i>
      <x/>
    </i>
    <i r="1">
      <x/>
    </i>
    <i r="1">
      <x v="4"/>
    </i>
    <i r="1">
      <x v="6"/>
    </i>
    <i r="1">
      <x v="8"/>
    </i>
    <i>
      <x v="1"/>
    </i>
    <i r="1">
      <x v="1"/>
    </i>
    <i r="1">
      <x v="2"/>
    </i>
    <i r="1">
      <x v="6"/>
    </i>
    <i r="1">
      <x v="7"/>
    </i>
    <i r="1">
      <x v="9"/>
    </i>
    <i>
      <x v="2"/>
    </i>
    <i r="1">
      <x/>
    </i>
    <i r="1">
      <x v="3"/>
    </i>
    <i r="1">
      <x v="5"/>
    </i>
    <i>
      <x v="3"/>
    </i>
    <i r="1">
      <x v="1"/>
    </i>
    <i r="1">
      <x v="3"/>
    </i>
    <i r="1">
      <x v="6"/>
    </i>
    <i r="1">
      <x v="7"/>
    </i>
    <i t="grand">
      <x/>
    </i>
  </rowItems>
  <colItems count="1">
    <i/>
  </colItems>
  <dataFields count="1">
    <dataField name="Sum of Selling Price" fld="4" baseField="0" baseItem="0" numFmtId="167"/>
  </dataFields>
  <formats count="20">
    <format dxfId="114">
      <pivotArea type="all" dataOnly="0" outline="0" fieldPosition="0"/>
    </format>
    <format dxfId="113">
      <pivotArea outline="0" collapsedLevelsAreSubtotals="1" fieldPosition="0"/>
    </format>
    <format dxfId="112">
      <pivotArea field="2" type="button" dataOnly="0" labelOnly="1" outline="0" axis="axisRow" fieldPosition="0"/>
    </format>
    <format dxfId="111">
      <pivotArea dataOnly="0" labelOnly="1" fieldPosition="0">
        <references count="1">
          <reference field="2" count="0"/>
        </references>
      </pivotArea>
    </format>
    <format dxfId="110">
      <pivotArea dataOnly="0" labelOnly="1" grandRow="1" outline="0" fieldPosition="0"/>
    </format>
    <format dxfId="109">
      <pivotArea dataOnly="0" labelOnly="1" fieldPosition="0">
        <references count="2">
          <reference field="1" count="4">
            <x v="0"/>
            <x v="4"/>
            <x v="6"/>
            <x v="8"/>
          </reference>
          <reference field="2" count="1" selected="0">
            <x v="0"/>
          </reference>
        </references>
      </pivotArea>
    </format>
    <format dxfId="108">
      <pivotArea dataOnly="0" labelOnly="1" fieldPosition="0">
        <references count="2">
          <reference field="1" count="5">
            <x v="1"/>
            <x v="2"/>
            <x v="6"/>
            <x v="7"/>
            <x v="9"/>
          </reference>
          <reference field="2" count="1" selected="0">
            <x v="1"/>
          </reference>
        </references>
      </pivotArea>
    </format>
    <format dxfId="107">
      <pivotArea dataOnly="0" labelOnly="1" fieldPosition="0">
        <references count="2">
          <reference field="1" count="3">
            <x v="0"/>
            <x v="3"/>
            <x v="5"/>
          </reference>
          <reference field="2" count="1" selected="0">
            <x v="2"/>
          </reference>
        </references>
      </pivotArea>
    </format>
    <format dxfId="106">
      <pivotArea dataOnly="0" labelOnly="1" fieldPosition="0">
        <references count="2">
          <reference field="1" count="4">
            <x v="1"/>
            <x v="3"/>
            <x v="6"/>
            <x v="7"/>
          </reference>
          <reference field="2" count="1" selected="0">
            <x v="3"/>
          </reference>
        </references>
      </pivotArea>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field="2" type="button" dataOnly="0" labelOnly="1" outline="0" axis="axisRow" fieldPosition="0"/>
    </format>
    <format dxfId="101">
      <pivotArea dataOnly="0" labelOnly="1" fieldPosition="0">
        <references count="1">
          <reference field="2" count="0"/>
        </references>
      </pivotArea>
    </format>
    <format dxfId="100">
      <pivotArea dataOnly="0" labelOnly="1" grandRow="1" outline="0" fieldPosition="0"/>
    </format>
    <format dxfId="99">
      <pivotArea dataOnly="0" labelOnly="1" fieldPosition="0">
        <references count="2">
          <reference field="1" count="4">
            <x v="0"/>
            <x v="4"/>
            <x v="6"/>
            <x v="8"/>
          </reference>
          <reference field="2" count="1" selected="0">
            <x v="0"/>
          </reference>
        </references>
      </pivotArea>
    </format>
    <format dxfId="98">
      <pivotArea dataOnly="0" labelOnly="1" fieldPosition="0">
        <references count="2">
          <reference field="1" count="5">
            <x v="1"/>
            <x v="2"/>
            <x v="6"/>
            <x v="7"/>
            <x v="9"/>
          </reference>
          <reference field="2" count="1" selected="0">
            <x v="1"/>
          </reference>
        </references>
      </pivotArea>
    </format>
    <format dxfId="97">
      <pivotArea dataOnly="0" labelOnly="1" fieldPosition="0">
        <references count="2">
          <reference field="1" count="3">
            <x v="0"/>
            <x v="3"/>
            <x v="5"/>
          </reference>
          <reference field="2" count="1" selected="0">
            <x v="2"/>
          </reference>
        </references>
      </pivotArea>
    </format>
    <format dxfId="96">
      <pivotArea dataOnly="0" labelOnly="1" fieldPosition="0">
        <references count="2">
          <reference field="1" count="4">
            <x v="1"/>
            <x v="3"/>
            <x v="6"/>
            <x v="7"/>
          </reference>
          <reference field="2" count="1" selected="0">
            <x v="3"/>
          </reference>
        </references>
      </pivotArea>
    </format>
    <format dxfId="95">
      <pivotArea dataOnly="0" labelOnly="1" outline="0" axis="axisValues" fieldPosition="0"/>
    </format>
  </formats>
  <chartFormats count="1">
    <chartFormat chart="0" format="14" series="1">
      <pivotArea type="data" outline="0" fieldPosition="0">
        <references count="1">
          <reference field="4294967294" count="1" selected="0">
            <x v="0"/>
          </reference>
        </references>
      </pivotArea>
    </chartFormat>
  </chartFormats>
  <pivotTableStyleInfo name="PivotStyleLight10"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32DD60-12DE-4F45-B0AF-12C2D62DD5E4}"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C23" firstHeaderRow="1" firstDataRow="1" firstDataCol="1"/>
  <pivotFields count="6">
    <pivotField numFmtId="14" showAll="0"/>
    <pivotField axis="axisRow" showAll="0">
      <items count="11">
        <item x="0"/>
        <item x="4"/>
        <item x="5"/>
        <item x="8"/>
        <item x="1"/>
        <item x="9"/>
        <item x="2"/>
        <item x="6"/>
        <item x="3"/>
        <item x="7"/>
        <item t="default"/>
      </items>
    </pivotField>
    <pivotField axis="axisRow" showAll="0">
      <items count="5">
        <item x="0"/>
        <item x="1"/>
        <item x="2"/>
        <item x="3"/>
        <item t="default"/>
      </items>
    </pivotField>
    <pivotField numFmtId="167" showAll="0"/>
    <pivotField dataField="1" numFmtId="167" showAll="0"/>
    <pivotField numFmtId="167" showAll="0"/>
  </pivotFields>
  <rowFields count="2">
    <field x="2"/>
    <field x="1"/>
  </rowFields>
  <rowItems count="21">
    <i>
      <x/>
    </i>
    <i r="1">
      <x/>
    </i>
    <i r="1">
      <x v="4"/>
    </i>
    <i r="1">
      <x v="6"/>
    </i>
    <i r="1">
      <x v="8"/>
    </i>
    <i>
      <x v="1"/>
    </i>
    <i r="1">
      <x v="1"/>
    </i>
    <i r="1">
      <x v="2"/>
    </i>
    <i r="1">
      <x v="6"/>
    </i>
    <i r="1">
      <x v="7"/>
    </i>
    <i r="1">
      <x v="9"/>
    </i>
    <i>
      <x v="2"/>
    </i>
    <i r="1">
      <x/>
    </i>
    <i r="1">
      <x v="3"/>
    </i>
    <i r="1">
      <x v="5"/>
    </i>
    <i>
      <x v="3"/>
    </i>
    <i r="1">
      <x v="1"/>
    </i>
    <i r="1">
      <x v="3"/>
    </i>
    <i r="1">
      <x v="6"/>
    </i>
    <i r="1">
      <x v="7"/>
    </i>
    <i t="grand">
      <x/>
    </i>
  </rowItems>
  <colItems count="1">
    <i/>
  </colItems>
  <dataFields count="1">
    <dataField name="Sum of Selling Price" fld="4" baseField="0" baseItem="0" numFmtId="167"/>
  </dataFields>
  <formats count="20">
    <format dxfId="94">
      <pivotArea type="all" dataOnly="0" outline="0" fieldPosition="0"/>
    </format>
    <format dxfId="93">
      <pivotArea outline="0" collapsedLevelsAreSubtotals="1" fieldPosition="0"/>
    </format>
    <format dxfId="92">
      <pivotArea field="2" type="button" dataOnly="0" labelOnly="1" outline="0" axis="axisRow" fieldPosition="0"/>
    </format>
    <format dxfId="91">
      <pivotArea dataOnly="0" labelOnly="1" fieldPosition="0">
        <references count="1">
          <reference field="2" count="0"/>
        </references>
      </pivotArea>
    </format>
    <format dxfId="90">
      <pivotArea dataOnly="0" labelOnly="1" grandRow="1" outline="0" fieldPosition="0"/>
    </format>
    <format dxfId="89">
      <pivotArea dataOnly="0" labelOnly="1" fieldPosition="0">
        <references count="2">
          <reference field="1" count="4">
            <x v="0"/>
            <x v="4"/>
            <x v="6"/>
            <x v="8"/>
          </reference>
          <reference field="2" count="1" selected="0">
            <x v="0"/>
          </reference>
        </references>
      </pivotArea>
    </format>
    <format dxfId="88">
      <pivotArea dataOnly="0" labelOnly="1" fieldPosition="0">
        <references count="2">
          <reference field="1" count="5">
            <x v="1"/>
            <x v="2"/>
            <x v="6"/>
            <x v="7"/>
            <x v="9"/>
          </reference>
          <reference field="2" count="1" selected="0">
            <x v="1"/>
          </reference>
        </references>
      </pivotArea>
    </format>
    <format dxfId="87">
      <pivotArea dataOnly="0" labelOnly="1" fieldPosition="0">
        <references count="2">
          <reference field="1" count="3">
            <x v="0"/>
            <x v="3"/>
            <x v="5"/>
          </reference>
          <reference field="2" count="1" selected="0">
            <x v="2"/>
          </reference>
        </references>
      </pivotArea>
    </format>
    <format dxfId="86">
      <pivotArea dataOnly="0" labelOnly="1" fieldPosition="0">
        <references count="2">
          <reference field="1" count="4">
            <x v="1"/>
            <x v="3"/>
            <x v="6"/>
            <x v="7"/>
          </reference>
          <reference field="2" count="1" selected="0">
            <x v="3"/>
          </reference>
        </references>
      </pivotArea>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2" type="button" dataOnly="0" labelOnly="1" outline="0" axis="axisRow" fieldPosition="0"/>
    </format>
    <format dxfId="81">
      <pivotArea dataOnly="0" labelOnly="1" fieldPosition="0">
        <references count="1">
          <reference field="2" count="0"/>
        </references>
      </pivotArea>
    </format>
    <format dxfId="80">
      <pivotArea dataOnly="0" labelOnly="1" grandRow="1" outline="0" fieldPosition="0"/>
    </format>
    <format dxfId="79">
      <pivotArea dataOnly="0" labelOnly="1" fieldPosition="0">
        <references count="2">
          <reference field="1" count="4">
            <x v="0"/>
            <x v="4"/>
            <x v="6"/>
            <x v="8"/>
          </reference>
          <reference field="2" count="1" selected="0">
            <x v="0"/>
          </reference>
        </references>
      </pivotArea>
    </format>
    <format dxfId="78">
      <pivotArea dataOnly="0" labelOnly="1" fieldPosition="0">
        <references count="2">
          <reference field="1" count="5">
            <x v="1"/>
            <x v="2"/>
            <x v="6"/>
            <x v="7"/>
            <x v="9"/>
          </reference>
          <reference field="2" count="1" selected="0">
            <x v="1"/>
          </reference>
        </references>
      </pivotArea>
    </format>
    <format dxfId="77">
      <pivotArea dataOnly="0" labelOnly="1" fieldPosition="0">
        <references count="2">
          <reference field="1" count="3">
            <x v="0"/>
            <x v="3"/>
            <x v="5"/>
          </reference>
          <reference field="2" count="1" selected="0">
            <x v="2"/>
          </reference>
        </references>
      </pivotArea>
    </format>
    <format dxfId="76">
      <pivotArea dataOnly="0" labelOnly="1" fieldPosition="0">
        <references count="2">
          <reference field="1" count="4">
            <x v="1"/>
            <x v="3"/>
            <x v="6"/>
            <x v="7"/>
          </reference>
          <reference field="2" count="1" selected="0">
            <x v="3"/>
          </reference>
        </references>
      </pivotArea>
    </format>
    <format dxfId="7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1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7685EF-69CC-4715-862F-66080EA0BB46}" name="PivotTable7"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F15" firstHeaderRow="1" firstDataRow="2" firstDataCol="1"/>
  <pivotFields count="6">
    <pivotField numFmtId="14" showAll="0">
      <items count="18">
        <item x="5"/>
        <item x="6"/>
        <item x="16"/>
        <item x="1"/>
        <item x="14"/>
        <item x="3"/>
        <item x="12"/>
        <item x="11"/>
        <item x="9"/>
        <item x="2"/>
        <item x="8"/>
        <item x="4"/>
        <item x="0"/>
        <item x="7"/>
        <item x="10"/>
        <item x="15"/>
        <item x="13"/>
        <item t="default"/>
      </items>
    </pivotField>
    <pivotField axis="axisRow" showAll="0">
      <items count="11">
        <item x="0"/>
        <item x="4"/>
        <item x="5"/>
        <item x="8"/>
        <item x="1"/>
        <item x="9"/>
        <item x="2"/>
        <item x="6"/>
        <item x="3"/>
        <item x="7"/>
        <item t="default"/>
      </items>
    </pivotField>
    <pivotField axis="axisCol" showAll="0">
      <items count="5">
        <item x="0"/>
        <item x="1"/>
        <item x="2"/>
        <item x="3"/>
        <item t="default"/>
      </items>
    </pivotField>
    <pivotField numFmtId="167" showAll="0"/>
    <pivotField dataField="1" numFmtId="167" showAll="0"/>
    <pivotField numFmtId="167" showAll="0"/>
  </pivotFields>
  <rowFields count="1">
    <field x="1"/>
  </rowFields>
  <rowItems count="11">
    <i>
      <x/>
    </i>
    <i>
      <x v="1"/>
    </i>
    <i>
      <x v="2"/>
    </i>
    <i>
      <x v="3"/>
    </i>
    <i>
      <x v="4"/>
    </i>
    <i>
      <x v="5"/>
    </i>
    <i>
      <x v="6"/>
    </i>
    <i>
      <x v="7"/>
    </i>
    <i>
      <x v="8"/>
    </i>
    <i>
      <x v="9"/>
    </i>
    <i t="grand">
      <x/>
    </i>
  </rowItems>
  <colFields count="1">
    <field x="2"/>
  </colFields>
  <colItems count="5">
    <i>
      <x/>
    </i>
    <i>
      <x v="1"/>
    </i>
    <i>
      <x v="2"/>
    </i>
    <i>
      <x v="3"/>
    </i>
    <i t="grand">
      <x/>
    </i>
  </colItems>
  <dataFields count="1">
    <dataField name="Sum of Selling Price" fld="4"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602932-7B3E-4C75-8568-C6A62860D698}" name="PivotTable3"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rowHeaderCaption="PRODUCTS">
  <location ref="G21:L29" firstHeaderRow="0" firstDataRow="1" firstDataCol="1"/>
  <pivotFields count="6">
    <pivotField axis="axisRow" compact="0" outline="0" subtotalTop="0" showAll="0" defaultSubtotal="0">
      <items count="7">
        <item x="0"/>
        <item x="1"/>
        <item x="2"/>
        <item x="4"/>
        <item x="5"/>
        <item x="3"/>
        <item x="6"/>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Fields count="1">
    <field x="0"/>
  </rowFields>
  <rowItems count="8">
    <i>
      <x/>
    </i>
    <i>
      <x v="1"/>
    </i>
    <i>
      <x v="2"/>
    </i>
    <i>
      <x v="3"/>
    </i>
    <i>
      <x v="4"/>
    </i>
    <i>
      <x v="5"/>
    </i>
    <i>
      <x v="6"/>
    </i>
    <i t="grand">
      <x/>
    </i>
  </rowItems>
  <colFields count="1">
    <field x="-2"/>
  </colFields>
  <colItems count="5">
    <i>
      <x/>
    </i>
    <i i="1">
      <x v="1"/>
    </i>
    <i i="2">
      <x v="2"/>
    </i>
    <i i="3">
      <x v="3"/>
    </i>
    <i i="4">
      <x v="4"/>
    </i>
  </colItems>
  <dataFields count="5">
    <dataField name="2012 Summary" fld="1" baseField="0" baseItem="0"/>
    <dataField name="2013 Summary" fld="2" baseField="0" baseItem="0"/>
    <dataField name="2014 Summary" fld="3" baseField="0" baseItem="0"/>
    <dataField name="2015 Summary" fld="4" baseField="0" baseItem="0"/>
    <dataField name="2016 Summary" fld="5" baseField="0" baseItem="0"/>
  </dataFields>
  <formats count="24">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fieldPosition="0">
        <references count="1">
          <reference field="0" count="0"/>
        </references>
      </pivotArea>
    </format>
    <format dxfId="33">
      <pivotArea dataOnly="0" labelOnly="1" grandRow="1" outline="0" fieldPosition="0"/>
    </format>
    <format dxfId="32">
      <pivotArea dataOnly="0" labelOnly="1" outline="0" fieldPosition="0">
        <references count="1">
          <reference field="4294967294" count="5">
            <x v="0"/>
            <x v="1"/>
            <x v="2"/>
            <x v="3"/>
            <x v="4"/>
          </reference>
        </references>
      </pivotArea>
    </format>
    <format dxfId="31">
      <pivotArea type="all" dataOnly="0" outline="0" fieldPosition="0"/>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0"/>
        </references>
      </pivotArea>
    </format>
    <format dxfId="27">
      <pivotArea dataOnly="0" labelOnly="1" grandRow="1" outline="0" fieldPosition="0"/>
    </format>
    <format dxfId="26">
      <pivotArea dataOnly="0" labelOnly="1" outline="0" fieldPosition="0">
        <references count="1">
          <reference field="4294967294" count="5">
            <x v="0"/>
            <x v="1"/>
            <x v="2"/>
            <x v="3"/>
            <x v="4"/>
          </reference>
        </references>
      </pivotArea>
    </format>
    <format dxfId="25">
      <pivotArea type="all" dataOnly="0" outline="0" fieldPosition="0"/>
    </format>
    <format dxfId="24">
      <pivotArea outline="0" collapsedLevelsAreSubtotals="1" fieldPosition="0"/>
    </format>
    <format dxfId="23">
      <pivotArea field="0" type="button" dataOnly="0" labelOnly="1" outline="0" axis="axisRow" fieldPosition="0"/>
    </format>
    <format dxfId="22">
      <pivotArea dataOnly="0" labelOnly="1" fieldPosition="0">
        <references count="1">
          <reference field="0" count="0"/>
        </references>
      </pivotArea>
    </format>
    <format dxfId="21">
      <pivotArea dataOnly="0" labelOnly="1" grandRow="1" outline="0" fieldPosition="0"/>
    </format>
    <format dxfId="20">
      <pivotArea dataOnly="0" labelOnly="1" outline="0" fieldPosition="0">
        <references count="1">
          <reference field="4294967294" count="5">
            <x v="0"/>
            <x v="1"/>
            <x v="2"/>
            <x v="3"/>
            <x v="4"/>
          </reference>
        </references>
      </pivotArea>
    </format>
    <format dxfId="19">
      <pivotArea type="all" dataOnly="0" outline="0" fieldPosition="0"/>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fieldPosition="0">
        <references count="1">
          <reference field="4294967294" count="5">
            <x v="0"/>
            <x v="1"/>
            <x v="2"/>
            <x v="3"/>
            <x v="4"/>
          </reference>
        </references>
      </pivotArea>
    </format>
  </formats>
  <pivotTableStyleInfo name="PivotStyleDark5"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9" xr16:uid="{0240074C-CEEA-494B-B9F4-9B5A69CD007E}" autoFormatId="16" applyNumberFormats="0" applyBorderFormats="0" applyFontFormats="0" applyPatternFormats="0" applyAlignmentFormats="0" applyWidthHeightFormats="0">
  <queryTableRefresh nextId="4">
    <queryTableFields count="3">
      <queryTableField id="1" name="Employee's Name" tableColumnId="1"/>
      <queryTableField id="2" name="Regions" tableColumnId="2"/>
      <queryTableField id="3" name="Salary per annum"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ACAE2B6-1F66-49F2-94E4-9892E0B2BC5C}" autoFormatId="16" applyNumberFormats="0" applyBorderFormats="0" applyFontFormats="0" applyPatternFormats="0" applyAlignmentFormats="0" applyWidthHeightFormats="0">
  <queryTableRefresh nextId="7">
    <queryTableFields count="6">
      <queryTableField id="1" name="S. No." tableColumnId="1"/>
      <queryTableField id="2" name="Restaurant IDs" tableColumnId="2"/>
      <queryTableField id="3" name="Restaurant names" tableColumnId="3"/>
      <queryTableField id="4" name="No. of items ordered" tableColumnId="4"/>
      <queryTableField id="5" name="Billing amounts" tableColumnId="5"/>
      <queryTableField id="6" name="Order Status"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EB2DD4DA-B6DF-4260-A004-081BE8513C9F}" autoFormatId="16" applyNumberFormats="0" applyBorderFormats="0" applyFontFormats="0" applyPatternFormats="0" applyAlignmentFormats="0" applyWidthHeightFormats="0">
  <queryTableRefresh nextId="6">
    <queryTableFields count="5">
      <queryTableField id="1" name="Date" tableColumnId="1"/>
      <queryTableField id="2" name="Items" tableColumnId="2"/>
      <queryTableField id="3" name="Region" tableColumnId="3"/>
      <queryTableField id="4" name="Cost Price" tableColumnId="4"/>
      <queryTableField id="5" name="Selling Pric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7" xr16:uid="{86B6E12D-B261-4FBC-B3AC-02EED526F0EA}" autoFormatId="16" applyNumberFormats="0" applyBorderFormats="0" applyFontFormats="0" applyPatternFormats="0" applyAlignmentFormats="0" applyWidthHeightFormats="0">
  <queryTableRefresh nextId="3">
    <queryTableFields count="2">
      <queryTableField id="1" name="Cost Price" tableColumnId="1"/>
      <queryTableField id="2" name="Selling Price"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8" xr16:uid="{3EC37621-CEEC-42EC-A757-81BEFA44586E}" autoFormatId="16" applyNumberFormats="0" applyBorderFormats="0" applyFontFormats="0" applyPatternFormats="0" applyAlignmentFormats="0" applyWidthHeightFormats="0">
  <queryTableRefresh nextId="5">
    <queryTableFields count="4">
      <queryTableField id="1" name="Date" tableColumnId="1"/>
      <queryTableField id="2" name="Items" tableColumnId="2"/>
      <queryTableField id="3" name="Region" tableColumnId="3"/>
      <queryTableField id="4" name="Cost Price"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1" xr16:uid="{3FF81EA5-6A82-4578-A889-9052DE82474A}" autoFormatId="16" applyNumberFormats="0" applyBorderFormats="0" applyFontFormats="0" applyPatternFormats="0" applyAlignmentFormats="0" applyWidthHeightFormats="0">
  <queryTableRefresh nextId="7">
    <queryTableFields count="6">
      <queryTableField id="1" name="Date" tableColumnId="1"/>
      <queryTableField id="2" name="Items" tableColumnId="2"/>
      <queryTableField id="3" name="Region" tableColumnId="3"/>
      <queryTableField id="4" name="Cost Price" tableColumnId="4"/>
      <queryTableField id="5" name="Selling Price" tableColumnId="5"/>
      <queryTableField id="6" name="Profit / Loss" tableColumnId="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6" xr16:uid="{72A57FEF-29F2-43BC-8F5E-1C6F71A9E401}" autoFormatId="16" applyNumberFormats="0" applyBorderFormats="0" applyFontFormats="0" applyPatternFormats="0" applyAlignmentFormats="0" applyWidthHeightFormats="0">
  <queryTableRefresh nextId="7">
    <queryTableFields count="6">
      <queryTableField id="1" name="Date" tableColumnId="1"/>
      <queryTableField id="2" name="Items" tableColumnId="2"/>
      <queryTableField id="3" name="Region" tableColumnId="3"/>
      <queryTableField id="4" name="Cost Price" tableColumnId="4"/>
      <queryTableField id="5" name="Selling Price" tableColumnId="5"/>
      <queryTableField id="6" name="Profit / Loss" tableColumnId="6"/>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5" xr16:uid="{9C10B190-6AE4-491B-964E-453AB36DC295}" autoFormatId="16" applyNumberFormats="0" applyBorderFormats="0" applyFontFormats="0" applyPatternFormats="0" applyAlignmentFormats="0" applyWidthHeightFormats="0">
  <queryTableRefresh nextId="7">
    <queryTableFields count="6">
      <queryTableField id="1" name="Date" tableColumnId="1"/>
      <queryTableField id="2" name="Items" tableColumnId="2"/>
      <queryTableField id="3" name="Region" tableColumnId="3"/>
      <queryTableField id="4" name="Cost Price" tableColumnId="4"/>
      <queryTableField id="5" name="Selling Price" tableColumnId="5"/>
      <queryTableField id="6" name="Profit / Loss" tableColumnId="6"/>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4" xr16:uid="{543047AE-8362-462A-9188-4539A77474F2}" autoFormatId="16" applyNumberFormats="0" applyBorderFormats="0" applyFontFormats="0" applyPatternFormats="0" applyAlignmentFormats="0" applyWidthHeightFormats="0">
  <queryTableRefresh nextId="7">
    <queryTableFields count="6">
      <queryTableField id="1" name="Date" tableColumnId="1"/>
      <queryTableField id="2" name="Items" tableColumnId="2"/>
      <queryTableField id="3" name="Region" tableColumnId="3"/>
      <queryTableField id="4" name="Cost Price" tableColumnId="4"/>
      <queryTableField id="5" name="Selling Price" tableColumnId="5"/>
      <queryTableField id="6" name="Profit / Loss" tableColumnId="6"/>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fb t="e">#NAME?</fb>
    <v>4</v>
    <v>1</v>
  </rv>
  <rv s="1">
    <fb t="e">#NAME?</fb>
    <v>4</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AD3656-4AF7-4593-B5AC-004114B23DC1}" sourceName="Region">
  <pivotTables>
    <pivotTable tabId="123" name="Pivot Table"/>
    <pivotTable tabId="65" name="PivotTable6"/>
  </pivotTables>
  <data>
    <tabular pivotCacheId="101012493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8307CDCC-0388-40A0-BEDA-7D6A798D0DB9}" sourceName="Products">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B13BFB-27A0-4FFA-8928-C238B967A2BD}" cache="Slicer_Region" caption="Region Slicer" columnCount="2"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Slicer" xr10:uid="{12E50AA9-BF17-4381-ACE5-A9B6FAA43585}" cache="Slicer_Products" caption="Products' Slicer" columnCount="2" style="SlicerStyleLight4" rowHeight="288000"/>
  <slicer name="Products' Slicer 1" xr10:uid="{EF7ECF08-4DB4-4846-A5BC-9D95803E1051}" cache="Slicer_Products" caption="Products' Slicer" columnCount="2" style="SlicerStyleLight4" rowHeight="28800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D5628C-D578-4E58-9B18-903868236FFF}" name="Table8" displayName="Table8" ref="D2:H38" totalsRowCount="1" headerRowDxfId="179" headerRowBorderDxfId="178" tableBorderDxfId="177" totalsRowBorderDxfId="176">
  <autoFilter ref="D2:H37" xr:uid="{8FD5628C-D578-4E58-9B18-903868236FFF}"/>
  <tableColumns count="5">
    <tableColumn id="1" xr3:uid="{BAEFF1C9-1A01-44B8-8909-3543B48B9391}" name="S.No." totalsRowLabel="Total" dataDxfId="175" totalsRowDxfId="174"/>
    <tableColumn id="2" xr3:uid="{52E5B80D-ED22-4331-9095-2C5DFCCDA1A0}" name="Months" dataDxfId="173" totalsRowDxfId="172"/>
    <tableColumn id="3" xr3:uid="{D6BF5F08-033B-458E-BCB8-2DD85070BA60}" name="Items" dataDxfId="171" totalsRowDxfId="170"/>
    <tableColumn id="4" xr3:uid="{4D412931-CFF6-4C7B-92F4-F1944B9523EE}" name="Cost Price" totalsRowFunction="sum" dataDxfId="169" totalsRowDxfId="168"/>
    <tableColumn id="5" xr3:uid="{C6EF44AF-DBB3-4F6C-BBD2-2F85645E5C79}" name="Selling Price" dataDxfId="167" totalsRowDxfId="166"/>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3370F09-F655-4702-9AE6-A903485657F7}" name="StudentData" displayName="StudentData" ref="B2:E14" headerRowDxfId="165" headerRowBorderDxfId="164" tableBorderDxfId="163" totalsRowBorderDxfId="162">
  <autoFilter ref="B2:E14" xr:uid="{63370F09-F655-4702-9AE6-A903485657F7}"/>
  <sortState xmlns:xlrd2="http://schemas.microsoft.com/office/spreadsheetml/2017/richdata2" ref="B3:E14">
    <sortCondition descending="1" ref="B2:B14"/>
  </sortState>
  <tableColumns count="4">
    <tableColumn id="1" xr3:uid="{10843AAB-061A-42AA-A664-EF773D23E632}" name="NAMES" totalsRowLabel="Total" dataDxfId="161" totalsRowDxfId="160"/>
    <tableColumn id="2" xr3:uid="{10D4AE22-1277-4719-8393-0CBF36BA9699}" name="SCIENCE" dataDxfId="159" totalsRowDxfId="158"/>
    <tableColumn id="3" xr3:uid="{9A53C1EA-0E55-431F-80A8-64EBFB40DD95}" name="MATH" dataDxfId="157" totalsRowDxfId="156"/>
    <tableColumn id="4" xr3:uid="{55A466D7-A87F-4D14-AFEC-1FC81C1CBB9D}" name="ENGLISH" totalsRowFunction="sum" dataDxfId="155" totalsRowDxfId="154"/>
  </tableColumns>
  <tableStyleInfo name="TableStyleDark2"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93D01F-9F49-44B3-86E9-AB11FF65C904}" name="Table13" displayName="Table13" ref="B3:D12" totalsRowShown="0" headerRowDxfId="153" headerRowBorderDxfId="152" tableBorderDxfId="151" totalsRowBorderDxfId="150">
  <autoFilter ref="B3:D12" xr:uid="{C693D01F-9F49-44B3-86E9-AB11FF65C904}"/>
  <tableColumns count="3">
    <tableColumn id="1" xr3:uid="{6B1BB1C3-C0AB-4FF4-A861-A839AE2282DA}" name="S. No."/>
    <tableColumn id="2" xr3:uid="{34F22146-5550-47A6-BC2F-0DB8071AF323}" name="First Name"/>
    <tableColumn id="3" xr3:uid="{4606888D-486C-4FDE-BED3-D262D1583F16}" name="Last Nam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B02BBD-9F42-4FB0-B02A-C0B67959C7AC}" name="Table3" displayName="Table3" ref="B2:D18" totalsRowShown="0" headerRowDxfId="149" headerRowBorderDxfId="148" tableBorderDxfId="147" totalsRowBorderDxfId="146">
  <autoFilter ref="B2:D18" xr:uid="{A5B02BBD-9F42-4FB0-B02A-C0B67959C7AC}"/>
  <tableColumns count="3">
    <tableColumn id="1" xr3:uid="{5E1923B0-93EF-4A04-8D0E-BE6E363A6285}" name="Employee's Name" dataDxfId="145"/>
    <tableColumn id="2" xr3:uid="{993A9FE0-40E7-491A-815B-4831332BA486}" name="Regions"/>
    <tableColumn id="3" xr3:uid="{880E1955-2371-4791-9366-FBA025FBFFEE}" name="Salary per annum" dataDxfId="14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33B5AE0-3818-4BBC-A4FC-2F88FE424DBA}" name="Table3_1" displayName="Table3_1" ref="A1:C15" tableType="queryTable" totalsRowShown="0">
  <autoFilter ref="A1:C15" xr:uid="{E33B5AE0-3818-4BBC-A4FC-2F88FE424DBA}"/>
  <tableColumns count="3">
    <tableColumn id="1" xr3:uid="{D2C93CA3-ABE3-428C-844B-9238AED75EDE}" uniqueName="1" name="Employee's Name" queryTableFieldId="1" dataDxfId="143"/>
    <tableColumn id="2" xr3:uid="{7B6F32A3-F55A-42BD-B560-490C04BF17FA}" uniqueName="2" name="Regions" queryTableFieldId="2" dataDxfId="142"/>
    <tableColumn id="3" xr3:uid="{A99649AB-A358-475B-8C4A-4260C98EF905}" uniqueName="3" name="Salary per annum" queryTableField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BB6701-4A19-46E3-B3E8-98814989CB8E}" name="Cleaned_data" displayName="Cleaned_data" ref="A1:F83" tableType="queryTable" totalsRowShown="0">
  <autoFilter ref="A1:F83" xr:uid="{78BB6701-4A19-46E3-B3E8-98814989CB8E}"/>
  <tableColumns count="6">
    <tableColumn id="1" xr3:uid="{DF43E037-5225-4F15-9262-CCD1E0CDA989}" uniqueName="1" name="S. No." queryTableFieldId="1"/>
    <tableColumn id="2" xr3:uid="{27289457-93B5-470C-9F3B-7347A1103B7C}" uniqueName="2" name="Restaurant IDs" queryTableFieldId="2"/>
    <tableColumn id="3" xr3:uid="{71C4CDAD-8A58-4EA8-BBE0-7EEE54871EB2}" uniqueName="3" name="Restaurant names" queryTableFieldId="3" dataDxfId="74"/>
    <tableColumn id="4" xr3:uid="{3F35C40F-290D-46B8-90C3-506E1E009BA5}" uniqueName="4" name="No. of items ordered" queryTableFieldId="4"/>
    <tableColumn id="5" xr3:uid="{CBFE7238-9D8E-47E0-8C67-F732AFC67669}" uniqueName="5" name="Billing amounts" queryTableFieldId="5"/>
    <tableColumn id="6" xr3:uid="{D82BADB5-AA4E-434A-8260-466099722C63}" uniqueName="6" name="Order Status" queryTableFieldId="6" dataDxfId="7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63BD1D1-93E8-4AEA-8622-099DD45B393F}" name="New_merged_table" displayName="New_merged_table" ref="A1:E21" tableType="queryTable" totalsRowShown="0">
  <autoFilter ref="A1:E21" xr:uid="{763BD1D1-93E8-4AEA-8622-099DD45B393F}"/>
  <tableColumns count="5">
    <tableColumn id="1" xr3:uid="{A396FC45-6775-48FD-8886-1E485EA167A6}" uniqueName="1" name="Date" queryTableFieldId="1" dataDxfId="72"/>
    <tableColumn id="2" xr3:uid="{E57BFAA8-D454-462A-A0A2-F3E6BB6389FF}" uniqueName="2" name="Items" queryTableFieldId="2" dataDxfId="71"/>
    <tableColumn id="3" xr3:uid="{4C66400C-35FB-4B91-903C-1EFEED8C7AD4}" uniqueName="3" name="Region" queryTableFieldId="3" dataDxfId="70"/>
    <tableColumn id="4" xr3:uid="{FB8E366C-62F8-4B54-924A-F11CE4E8793F}" uniqueName="4" name="Cost Price" queryTableFieldId="4"/>
    <tableColumn id="5" xr3:uid="{52CD8829-69B7-451B-8A6E-2039BE01734E}" uniqueName="5" name="Selling Price" queryTableFieldId="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460096-8D87-4AFC-89E0-70450DFD41AB}" name="Table1" displayName="Table1" ref="A1:B19" tableType="queryTable" totalsRowShown="0">
  <autoFilter ref="A1:B19" xr:uid="{20460096-8D87-4AFC-89E0-70450DFD41AB}"/>
  <tableColumns count="2">
    <tableColumn id="1" xr3:uid="{91EA4C23-CA5E-474F-8D0F-A8A4CFB92490}" uniqueName="1" name="Cost Price" queryTableFieldId="1"/>
    <tableColumn id="2" xr3:uid="{B9BB560E-3578-4C54-88AA-C2F90014E262}" uniqueName="2" name="Selling Price" queryTableFieldId="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4D97F8-23CC-45BF-BC94-555780F6B264}" name="Table2" displayName="Table2" ref="A1:D19" tableType="queryTable" totalsRowShown="0">
  <autoFilter ref="A1:D19" xr:uid="{684D97F8-23CC-45BF-BC94-555780F6B264}"/>
  <tableColumns count="4">
    <tableColumn id="1" xr3:uid="{3424E4E3-984D-4E86-9458-009705509FD8}" uniqueName="1" name="Date" queryTableFieldId="1" dataDxfId="69"/>
    <tableColumn id="2" xr3:uid="{40BD808E-68EF-47E7-B56C-6AD8F8051DCC}" uniqueName="2" name="Items" queryTableFieldId="2" dataDxfId="68"/>
    <tableColumn id="3" xr3:uid="{A5C0B43D-BF0F-4E91-B263-218AE3896116}" uniqueName="3" name="Region" queryTableFieldId="3" dataDxfId="67"/>
    <tableColumn id="4" xr3:uid="{E2B64FAE-2D4B-4C8F-8324-BF652B745B99}" uniqueName="4" name="Cost Price" queryTableFieldId="4"/>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EB8D4E5-97B7-4F48-81FA-99226DA3F8B2}" name="Append1" displayName="Append1" ref="A1:F19" tableType="queryTable" totalsRowShown="0">
  <autoFilter ref="A1:F19" xr:uid="{FEB8D4E5-97B7-4F48-81FA-99226DA3F8B2}"/>
  <tableColumns count="6">
    <tableColumn id="1" xr3:uid="{FB498D20-AB5C-4C7A-ACF7-5E05E2904245}" uniqueName="1" name="Date" queryTableFieldId="1" dataDxfId="66"/>
    <tableColumn id="2" xr3:uid="{8004344C-B578-4ABE-8EB9-417DCDE83255}" uniqueName="2" name="Items" queryTableFieldId="2" dataDxfId="65"/>
    <tableColumn id="3" xr3:uid="{E7BFCFF0-BA02-4A34-A310-1B78E25AB16E}" uniqueName="3" name="Region" queryTableFieldId="3" dataDxfId="64"/>
    <tableColumn id="4" xr3:uid="{A0D93579-4E7F-40CC-A1FC-5257542990B4}" uniqueName="4" name="Cost Price" queryTableFieldId="4"/>
    <tableColumn id="5" xr3:uid="{0427438E-49CC-4969-B857-68F4CE3F8E84}" uniqueName="5" name="Selling Price" queryTableFieldId="5"/>
    <tableColumn id="6" xr3:uid="{6E2B89B1-2359-4851-9B53-F5D18E060AF7}" uniqueName="6" name="Profit / Loss" queryTableFieldId="6"/>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9551C6E-A1DE-4EF1-8B1F-714B3A3FF243}" name="Sheet5" displayName="Sheet5" ref="A1:F7" tableType="queryTable" totalsRowShown="0">
  <autoFilter ref="A1:F7" xr:uid="{19551C6E-A1DE-4EF1-8B1F-714B3A3FF243}"/>
  <tableColumns count="6">
    <tableColumn id="1" xr3:uid="{90D67F84-31B8-443D-A375-4985807E2DE8}" uniqueName="1" name="Date" queryTableFieldId="1" dataDxfId="63"/>
    <tableColumn id="2" xr3:uid="{EC3263CB-E82D-41D9-8E52-162FE9C165E6}" uniqueName="2" name="Items" queryTableFieldId="2" dataDxfId="62"/>
    <tableColumn id="3" xr3:uid="{848081DB-DDCB-4E48-B4E6-7584B38AA55E}" uniqueName="3" name="Region" queryTableFieldId="3" dataDxfId="61"/>
    <tableColumn id="4" xr3:uid="{2FF21125-2F65-42AF-A797-593C8E4A80D4}" uniqueName="4" name="Cost Price" queryTableFieldId="4"/>
    <tableColumn id="5" xr3:uid="{C5A711ED-3DE4-4F8B-875D-FED6ADCEE7E1}" uniqueName="5" name="Selling Price" queryTableFieldId="5"/>
    <tableColumn id="6" xr3:uid="{0AA9FEEE-1ADE-445B-AA4E-B00F110786BC}" uniqueName="6" name="Profit / Loss" queryTableFieldId="6"/>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D74A4B-B8C4-4E07-A064-A17DE2DEE93C}" name="Sheet2" displayName="Sheet2" ref="A1:F7" tableType="queryTable" totalsRowShown="0">
  <autoFilter ref="A1:F7" xr:uid="{9BD74A4B-B8C4-4E07-A064-A17DE2DEE93C}"/>
  <tableColumns count="6">
    <tableColumn id="1" xr3:uid="{9353C41E-4CDF-4D9C-AD45-A25953C51876}" uniqueName="1" name="Date" queryTableFieldId="1" dataDxfId="60"/>
    <tableColumn id="2" xr3:uid="{A8717572-DF23-4C6E-A365-5F02373459B6}" uniqueName="2" name="Items" queryTableFieldId="2" dataDxfId="59"/>
    <tableColumn id="3" xr3:uid="{2374E93B-0186-438F-A2BB-86F9F4CFB11E}" uniqueName="3" name="Region" queryTableFieldId="3" dataDxfId="58"/>
    <tableColumn id="4" xr3:uid="{432475D3-D4A6-4587-829C-A8BEFD12CEF4}" uniqueName="4" name="Cost Price" queryTableFieldId="4"/>
    <tableColumn id="5" xr3:uid="{4FA5A462-4CFB-490C-9851-33AA3B4AF0A9}" uniqueName="5" name="Selling Price" queryTableFieldId="5"/>
    <tableColumn id="6" xr3:uid="{6C68B675-40E4-46DC-B3EC-5F437D34897E}" uniqueName="6" name="Profit / Loss" queryTableFieldId="6"/>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F593D6-74E4-439A-B27A-9673CBC9BE48}" name="Sheet1" displayName="Sheet1" ref="A1:F7" tableType="queryTable" totalsRowShown="0">
  <autoFilter ref="A1:F7" xr:uid="{23F593D6-74E4-439A-B27A-9673CBC9BE48}"/>
  <tableColumns count="6">
    <tableColumn id="1" xr3:uid="{AC4899A9-11F3-4223-9E63-352CED0F9677}" uniqueName="1" name="Date" queryTableFieldId="1" dataDxfId="57"/>
    <tableColumn id="2" xr3:uid="{DF764006-2A49-4F80-BD6B-C426900CC9D9}" uniqueName="2" name="Items" queryTableFieldId="2" dataDxfId="56"/>
    <tableColumn id="3" xr3:uid="{5C0FF895-A1CC-4A2F-94C8-367514DF2688}" uniqueName="3" name="Region" queryTableFieldId="3" dataDxfId="55"/>
    <tableColumn id="4" xr3:uid="{2ADA86F5-9AC9-4A34-9B6F-19C7740D3DB3}" uniqueName="4" name="Cost Price" queryTableFieldId="4"/>
    <tableColumn id="5" xr3:uid="{4A082161-877A-4320-B4A4-6C90FDC18601}" uniqueName="5" name="Selling Price" queryTableFieldId="5"/>
    <tableColumn id="6" xr3:uid="{1DCB6A6C-013F-42F4-9C0B-EE513D01D617}" uniqueName="6" name="Profit / Loss" queryTableFieldId="6"/>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C34393-1ED7-48EE-B027-68C065B62D29}" name="Table22" displayName="Table22" ref="B6:G13" headerRowDxfId="54" dataDxfId="52" headerRowBorderDxfId="53" tableBorderDxfId="51" totalsRowBorderDxfId="50" headerRowCellStyle="Normal 2" dataCellStyle="Normal 2">
  <autoFilter ref="B6:G13" xr:uid="{D8C7632C-6722-46D3-974D-C11CDB577B66}"/>
  <tableColumns count="6">
    <tableColumn id="1" xr3:uid="{B5882452-4A04-4944-A4A6-AE7C4F26FA5E}" name="Products" totalsRowLabel="Total" dataDxfId="49" totalsRowDxfId="48" dataCellStyle="Normal 2"/>
    <tableColumn id="2" xr3:uid="{B1C701B7-B5A3-4C5A-99F2-86752343731E}" name="2012" dataDxfId="47" totalsRowDxfId="46" dataCellStyle="Normal 2"/>
    <tableColumn id="3" xr3:uid="{C2329804-8D45-432F-85C5-DEF341942E5F}" name="2013" dataDxfId="45" totalsRowDxfId="44" dataCellStyle="Normal 2"/>
    <tableColumn id="4" xr3:uid="{BAB7F771-59BD-4258-9ADE-05AEF41E43CD}" name="2014" dataDxfId="43" totalsRowDxfId="42" dataCellStyle="Normal 2"/>
    <tableColumn id="5" xr3:uid="{D8E9AF91-6440-406E-A948-5CE486DE16FB}" name="2015" dataDxfId="41" totalsRowDxfId="40" dataCellStyle="Normal 2"/>
    <tableColumn id="6" xr3:uid="{62115D5C-8709-48E8-8993-D1E6B93E526A}" name="2016" totalsRowFunction="sum" dataDxfId="39" totalsRowDxfId="38" dataCellStyle="Normal 2"/>
  </tableColumns>
  <tableStyleInfo name="TableStyleLight21" showFirstColumn="1"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7" dT="2022-11-12T07:09:09.58" personId="{06826219-AACC-4E75-94BF-0DCAC89E2ACB}" id="{DA9F22FF-35C7-4F48-BD73-C765623F2F3D}">
    <text xml:space="preserve">Good
</text>
  </threadedComment>
  <threadedComment ref="E9" dT="2022-11-13T12:41:38.87" personId="{06826219-AACC-4E75-94BF-0DCAC89E2ACB}" id="{C1986A93-F237-4F49-A91D-AA96FE36979C}">
    <text>JULY</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FB81EBF-0EDA-4809-AE6E-8FC849AF9308}" sourceName="Date">
  <pivotTables>
    <pivotTable tabId="128" name="PivotTable7"/>
  </pivotTables>
  <state minimalRefreshVersion="6" lastRefreshVersion="6" pivotCacheId="471729736" filterType="unknown">
    <bounds startDate="2000-01-01T00:00:00" endDate="201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C9A6185-CEB6-460B-8D35-FFF309083871}" cache="NativeTimeline_Date" caption="Date Timeline" level="0" selectionLevel="1" scrollPosition="2000-09-04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9.bin"/><Relationship Id="rId4" Type="http://schemas.microsoft.com/office/2017/10/relationships/threadedComment" Target="../threadedComments/threadedComment1.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6.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3.xml"/><Relationship Id="rId1" Type="http://schemas.openxmlformats.org/officeDocument/2006/relationships/printerSettings" Target="../printerSettings/printerSettings32.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6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7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7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8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8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8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8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89.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39.bin"/></Relationships>
</file>

<file path=xl/worksheets/_rels/sheet9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0454-6C71-4F68-90FD-CA94A946A9E7}">
  <dimension ref="B2:K33"/>
  <sheetViews>
    <sheetView topLeftCell="A4" workbookViewId="0">
      <pane ySplit="2904" topLeftCell="A12" activePane="bottomLeft"/>
      <selection activeCell="C19" sqref="C19"/>
      <selection pane="bottomLeft" activeCell="C19" sqref="C19"/>
    </sheetView>
  </sheetViews>
  <sheetFormatPr defaultColWidth="17.44140625" defaultRowHeight="14.4" x14ac:dyDescent="0.3"/>
  <cols>
    <col min="1" max="3" width="17.44140625" style="16"/>
    <col min="4" max="4" width="19.77734375" style="16" customWidth="1"/>
    <col min="5" max="9" width="17.44140625" style="16"/>
    <col min="10" max="10" width="18.77734375" style="16" customWidth="1"/>
    <col min="11" max="16384" width="17.44140625" style="16"/>
  </cols>
  <sheetData>
    <row r="2" spans="2:11" x14ac:dyDescent="0.3">
      <c r="B2" s="294" t="s">
        <v>18</v>
      </c>
      <c r="C2" s="294" t="s">
        <v>19</v>
      </c>
      <c r="D2" s="294" t="s">
        <v>16</v>
      </c>
      <c r="E2" s="294" t="s">
        <v>17</v>
      </c>
      <c r="H2" s="294" t="s">
        <v>18</v>
      </c>
      <c r="I2" s="294" t="s">
        <v>19</v>
      </c>
      <c r="J2" s="294" t="s">
        <v>16</v>
      </c>
      <c r="K2" s="294" t="s">
        <v>17</v>
      </c>
    </row>
    <row r="3" spans="2:11" x14ac:dyDescent="0.3">
      <c r="B3" s="174">
        <v>36531</v>
      </c>
      <c r="C3" s="174" t="s">
        <v>20</v>
      </c>
      <c r="D3" s="175" t="s">
        <v>21</v>
      </c>
      <c r="E3" s="175">
        <v>12000</v>
      </c>
      <c r="H3" s="174">
        <v>36531</v>
      </c>
      <c r="I3" s="174" t="s">
        <v>20</v>
      </c>
      <c r="J3" s="175" t="s">
        <v>21</v>
      </c>
      <c r="K3" s="175">
        <v>12000</v>
      </c>
    </row>
    <row r="4" spans="2:11" x14ac:dyDescent="0.3">
      <c r="B4" s="174">
        <v>36542</v>
      </c>
      <c r="C4" s="174" t="s">
        <v>20</v>
      </c>
      <c r="D4" s="175" t="s">
        <v>22</v>
      </c>
      <c r="E4" s="175">
        <v>35700</v>
      </c>
      <c r="H4" s="174">
        <v>36542</v>
      </c>
      <c r="I4" s="174" t="s">
        <v>20</v>
      </c>
      <c r="J4" s="175" t="s">
        <v>22</v>
      </c>
      <c r="K4" s="175">
        <v>35700</v>
      </c>
    </row>
    <row r="5" spans="2:11" x14ac:dyDescent="0.3">
      <c r="B5" s="174">
        <v>36535</v>
      </c>
      <c r="C5" s="174" t="s">
        <v>20</v>
      </c>
      <c r="D5" s="175" t="s">
        <v>22</v>
      </c>
      <c r="E5" s="175">
        <v>42840</v>
      </c>
      <c r="H5" s="174">
        <v>36535</v>
      </c>
      <c r="I5" s="174" t="s">
        <v>20</v>
      </c>
      <c r="J5" s="175" t="s">
        <v>22</v>
      </c>
      <c r="K5" s="175">
        <v>42840</v>
      </c>
    </row>
    <row r="6" spans="2:11" x14ac:dyDescent="0.3">
      <c r="B6" s="174">
        <v>36530</v>
      </c>
      <c r="C6" s="174" t="s">
        <v>20</v>
      </c>
      <c r="D6" s="175" t="s">
        <v>23</v>
      </c>
      <c r="E6" s="175">
        <v>10000</v>
      </c>
      <c r="H6" s="174">
        <v>36530</v>
      </c>
      <c r="I6" s="174" t="s">
        <v>20</v>
      </c>
      <c r="J6" s="175" t="s">
        <v>23</v>
      </c>
      <c r="K6" s="175">
        <v>10000</v>
      </c>
    </row>
    <row r="7" spans="2:11" x14ac:dyDescent="0.3">
      <c r="B7" s="174">
        <v>36531</v>
      </c>
      <c r="C7" s="174" t="s">
        <v>20</v>
      </c>
      <c r="D7" s="175" t="s">
        <v>23</v>
      </c>
      <c r="E7" s="175">
        <v>30000</v>
      </c>
      <c r="H7" s="174">
        <v>36531</v>
      </c>
      <c r="I7" s="174" t="s">
        <v>20</v>
      </c>
      <c r="J7" s="175" t="s">
        <v>23</v>
      </c>
      <c r="K7" s="175">
        <v>30000</v>
      </c>
    </row>
    <row r="8" spans="2:11" x14ac:dyDescent="0.3">
      <c r="B8" s="174">
        <v>36533</v>
      </c>
      <c r="C8" s="174" t="s">
        <v>24</v>
      </c>
      <c r="D8" s="175" t="s">
        <v>25</v>
      </c>
      <c r="E8" s="175">
        <v>32640</v>
      </c>
      <c r="H8" s="174">
        <v>36533</v>
      </c>
      <c r="I8" s="174" t="s">
        <v>24</v>
      </c>
      <c r="J8" s="175" t="s">
        <v>25</v>
      </c>
      <c r="K8" s="175">
        <v>32640</v>
      </c>
    </row>
    <row r="9" spans="2:11" x14ac:dyDescent="0.3">
      <c r="B9" s="174">
        <v>36526</v>
      </c>
      <c r="C9" s="174" t="s">
        <v>24</v>
      </c>
      <c r="D9" s="175" t="s">
        <v>26</v>
      </c>
      <c r="E9" s="175">
        <v>4000</v>
      </c>
      <c r="H9" s="174">
        <v>36526</v>
      </c>
      <c r="I9" s="174" t="s">
        <v>24</v>
      </c>
      <c r="J9" s="175" t="s">
        <v>26</v>
      </c>
      <c r="K9" s="175">
        <v>4000</v>
      </c>
    </row>
    <row r="10" spans="2:11" x14ac:dyDescent="0.3">
      <c r="B10" s="174">
        <v>36528</v>
      </c>
      <c r="C10" s="174" t="s">
        <v>24</v>
      </c>
      <c r="D10" s="175" t="s">
        <v>27</v>
      </c>
      <c r="E10" s="175">
        <v>8000</v>
      </c>
      <c r="H10" s="174">
        <v>36528</v>
      </c>
      <c r="I10" s="174" t="s">
        <v>24</v>
      </c>
      <c r="J10" s="175" t="s">
        <v>27</v>
      </c>
      <c r="K10" s="175">
        <v>8000</v>
      </c>
    </row>
    <row r="11" spans="2:11" x14ac:dyDescent="0.3">
      <c r="B11" s="174">
        <v>36544</v>
      </c>
      <c r="C11" s="175" t="s">
        <v>24</v>
      </c>
      <c r="D11" s="175" t="s">
        <v>27</v>
      </c>
      <c r="E11" s="175">
        <v>8000</v>
      </c>
      <c r="H11" s="174">
        <v>36544</v>
      </c>
      <c r="I11" s="175" t="s">
        <v>24</v>
      </c>
      <c r="J11" s="175" t="s">
        <v>27</v>
      </c>
      <c r="K11" s="175">
        <v>8000</v>
      </c>
    </row>
    <row r="12" spans="2:11" x14ac:dyDescent="0.3">
      <c r="B12" s="174">
        <v>36541</v>
      </c>
      <c r="C12" s="174" t="s">
        <v>24</v>
      </c>
      <c r="D12" s="175" t="s">
        <v>22</v>
      </c>
      <c r="E12" s="175">
        <v>42840</v>
      </c>
      <c r="H12" s="174">
        <v>36541</v>
      </c>
      <c r="I12" s="174" t="s">
        <v>24</v>
      </c>
      <c r="J12" s="175" t="s">
        <v>22</v>
      </c>
      <c r="K12" s="175">
        <v>42840</v>
      </c>
    </row>
    <row r="13" spans="2:11" x14ac:dyDescent="0.3">
      <c r="B13" s="174">
        <v>36545</v>
      </c>
      <c r="C13" s="175" t="s">
        <v>24</v>
      </c>
      <c r="D13" s="175" t="s">
        <v>28</v>
      </c>
      <c r="E13" s="175">
        <v>8000</v>
      </c>
      <c r="H13" s="174">
        <v>36545</v>
      </c>
      <c r="I13" s="175" t="s">
        <v>24</v>
      </c>
      <c r="J13" s="175" t="s">
        <v>28</v>
      </c>
      <c r="K13" s="175">
        <v>8000</v>
      </c>
    </row>
    <row r="14" spans="2:11" x14ac:dyDescent="0.3">
      <c r="B14" s="174">
        <v>36534</v>
      </c>
      <c r="C14" s="174" t="s">
        <v>24</v>
      </c>
      <c r="D14" s="175" t="s">
        <v>29</v>
      </c>
      <c r="E14" s="175">
        <v>48960</v>
      </c>
      <c r="H14" s="174">
        <v>36534</v>
      </c>
      <c r="I14" s="174" t="s">
        <v>24</v>
      </c>
      <c r="J14" s="175" t="s">
        <v>29</v>
      </c>
      <c r="K14" s="175">
        <v>48960</v>
      </c>
    </row>
    <row r="15" spans="2:11" x14ac:dyDescent="0.3">
      <c r="B15" s="174">
        <v>36539</v>
      </c>
      <c r="C15" s="174" t="s">
        <v>30</v>
      </c>
      <c r="D15" s="175" t="s">
        <v>25</v>
      </c>
      <c r="E15" s="175">
        <v>32640</v>
      </c>
      <c r="H15" s="174">
        <v>36539</v>
      </c>
      <c r="I15" s="174" t="s">
        <v>30</v>
      </c>
      <c r="J15" s="175" t="s">
        <v>25</v>
      </c>
      <c r="K15" s="175">
        <v>32640</v>
      </c>
    </row>
    <row r="16" spans="2:11" x14ac:dyDescent="0.3">
      <c r="B16" s="174">
        <v>36540</v>
      </c>
      <c r="C16" s="174" t="s">
        <v>30</v>
      </c>
      <c r="D16" s="175" t="s">
        <v>25</v>
      </c>
      <c r="E16" s="175">
        <v>42000</v>
      </c>
      <c r="H16" s="174">
        <v>36540</v>
      </c>
      <c r="I16" s="174" t="s">
        <v>30</v>
      </c>
      <c r="J16" s="175" t="s">
        <v>25</v>
      </c>
      <c r="K16" s="175">
        <v>42000</v>
      </c>
    </row>
    <row r="17" spans="2:11" x14ac:dyDescent="0.3">
      <c r="B17" s="174">
        <v>36538</v>
      </c>
      <c r="C17" s="174" t="s">
        <v>30</v>
      </c>
      <c r="D17" s="175" t="s">
        <v>31</v>
      </c>
      <c r="E17" s="175">
        <v>35700</v>
      </c>
      <c r="H17" s="174">
        <v>36538</v>
      </c>
      <c r="I17" s="174" t="s">
        <v>30</v>
      </c>
      <c r="J17" s="175" t="s">
        <v>31</v>
      </c>
      <c r="K17" s="175">
        <v>35700</v>
      </c>
    </row>
    <row r="18" spans="2:11" x14ac:dyDescent="0.3">
      <c r="B18" s="174">
        <v>36537</v>
      </c>
      <c r="C18" s="174" t="s">
        <v>30</v>
      </c>
      <c r="D18" s="175" t="s">
        <v>32</v>
      </c>
      <c r="E18" s="175">
        <v>6000</v>
      </c>
      <c r="H18" s="174">
        <v>36537</v>
      </c>
      <c r="I18" s="174" t="s">
        <v>30</v>
      </c>
      <c r="J18" s="175" t="s">
        <v>32</v>
      </c>
      <c r="K18" s="175">
        <v>6000</v>
      </c>
    </row>
    <row r="19" spans="2:11" x14ac:dyDescent="0.3">
      <c r="B19" s="174">
        <v>36546</v>
      </c>
      <c r="C19" s="175" t="s">
        <v>30</v>
      </c>
      <c r="D19" s="175" t="s">
        <v>23</v>
      </c>
      <c r="E19" s="175">
        <v>10000</v>
      </c>
      <c r="H19" s="174">
        <v>36546</v>
      </c>
      <c r="I19" s="175" t="s">
        <v>30</v>
      </c>
      <c r="J19" s="175" t="s">
        <v>23</v>
      </c>
      <c r="K19" s="175">
        <v>10000</v>
      </c>
    </row>
    <row r="20" spans="2:11" x14ac:dyDescent="0.3">
      <c r="B20" s="174">
        <v>36540</v>
      </c>
      <c r="C20" s="174" t="s">
        <v>30</v>
      </c>
      <c r="D20" s="175" t="s">
        <v>29</v>
      </c>
      <c r="E20" s="175">
        <v>48960</v>
      </c>
      <c r="H20" s="174">
        <v>36540</v>
      </c>
      <c r="I20" s="174" t="s">
        <v>30</v>
      </c>
      <c r="J20" s="175" t="s">
        <v>29</v>
      </c>
      <c r="K20" s="175">
        <v>48960</v>
      </c>
    </row>
    <row r="21" spans="2:11" x14ac:dyDescent="0.3">
      <c r="B21" s="174">
        <v>36536</v>
      </c>
      <c r="C21" s="174" t="s">
        <v>33</v>
      </c>
      <c r="D21" s="175" t="s">
        <v>26</v>
      </c>
      <c r="E21" s="175">
        <v>4000</v>
      </c>
      <c r="H21" s="174">
        <v>36536</v>
      </c>
      <c r="I21" s="174" t="s">
        <v>33</v>
      </c>
      <c r="J21" s="175" t="s">
        <v>26</v>
      </c>
      <c r="K21" s="175">
        <v>4000</v>
      </c>
    </row>
    <row r="22" spans="2:11" x14ac:dyDescent="0.3">
      <c r="B22" s="174">
        <v>36532</v>
      </c>
      <c r="C22" s="174" t="s">
        <v>33</v>
      </c>
      <c r="D22" s="175" t="s">
        <v>31</v>
      </c>
      <c r="E22" s="175">
        <v>35700</v>
      </c>
      <c r="H22" s="174">
        <v>36532</v>
      </c>
      <c r="I22" s="174" t="s">
        <v>33</v>
      </c>
      <c r="J22" s="175" t="s">
        <v>31</v>
      </c>
      <c r="K22" s="175">
        <v>35700</v>
      </c>
    </row>
    <row r="23" spans="2:11" x14ac:dyDescent="0.3">
      <c r="B23" s="174">
        <v>36527</v>
      </c>
      <c r="C23" s="174" t="s">
        <v>33</v>
      </c>
      <c r="D23" s="175" t="s">
        <v>34</v>
      </c>
      <c r="E23" s="175">
        <v>7000</v>
      </c>
      <c r="H23" s="174">
        <v>36527</v>
      </c>
      <c r="I23" s="174" t="s">
        <v>33</v>
      </c>
      <c r="J23" s="175" t="s">
        <v>34</v>
      </c>
      <c r="K23" s="175">
        <v>7000</v>
      </c>
    </row>
    <row r="24" spans="2:11" x14ac:dyDescent="0.3">
      <c r="B24" s="174">
        <v>36543</v>
      </c>
      <c r="C24" s="174" t="s">
        <v>33</v>
      </c>
      <c r="D24" s="175" t="s">
        <v>34</v>
      </c>
      <c r="E24" s="175">
        <v>9000</v>
      </c>
      <c r="H24" s="174">
        <v>36543</v>
      </c>
      <c r="I24" s="174" t="s">
        <v>33</v>
      </c>
      <c r="J24" s="175" t="s">
        <v>34</v>
      </c>
      <c r="K24" s="175">
        <v>9000</v>
      </c>
    </row>
    <row r="25" spans="2:11" x14ac:dyDescent="0.3">
      <c r="B25" s="174">
        <v>36547</v>
      </c>
      <c r="C25" s="175" t="s">
        <v>33</v>
      </c>
      <c r="D25" s="175" t="s">
        <v>22</v>
      </c>
      <c r="E25" s="175">
        <v>35700</v>
      </c>
      <c r="H25" s="174">
        <v>36547</v>
      </c>
      <c r="I25" s="175" t="s">
        <v>33</v>
      </c>
      <c r="J25" s="175" t="s">
        <v>22</v>
      </c>
      <c r="K25" s="175">
        <v>35700</v>
      </c>
    </row>
    <row r="26" spans="2:11" x14ac:dyDescent="0.3">
      <c r="B26" s="174">
        <v>36529</v>
      </c>
      <c r="C26" s="174" t="s">
        <v>33</v>
      </c>
      <c r="D26" s="175" t="s">
        <v>28</v>
      </c>
      <c r="E26" s="175">
        <v>8000</v>
      </c>
      <c r="H26" s="174">
        <v>36529</v>
      </c>
      <c r="I26" s="174" t="s">
        <v>33</v>
      </c>
      <c r="J26" s="175" t="s">
        <v>28</v>
      </c>
      <c r="K26" s="175">
        <v>8000</v>
      </c>
    </row>
    <row r="32" spans="2:11" x14ac:dyDescent="0.3">
      <c r="F32" s="295">
        <v>36538</v>
      </c>
      <c r="G32" s="296" t="s">
        <v>30</v>
      </c>
      <c r="H32" s="297" t="s">
        <v>31</v>
      </c>
    </row>
    <row r="33" spans="6:8" x14ac:dyDescent="0.3">
      <c r="F33" s="298">
        <v>36537</v>
      </c>
      <c r="G33" s="299" t="s">
        <v>30</v>
      </c>
      <c r="H33" s="300" t="s">
        <v>32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A0001-FA27-4F87-B82E-75B35EC75D3B}">
  <dimension ref="B2:K13"/>
  <sheetViews>
    <sheetView zoomScaleNormal="100" workbookViewId="0">
      <selection activeCell="C19" sqref="C19"/>
    </sheetView>
  </sheetViews>
  <sheetFormatPr defaultColWidth="12" defaultRowHeight="19.05" customHeight="1" x14ac:dyDescent="0.35"/>
  <cols>
    <col min="1" max="1" width="12" style="309"/>
    <col min="2" max="2" width="13.21875" style="309" customWidth="1"/>
    <col min="3" max="3" width="14.88671875" style="309" customWidth="1"/>
    <col min="4" max="4" width="14.77734375" style="309" customWidth="1"/>
    <col min="5" max="5" width="10.77734375" style="309" customWidth="1"/>
    <col min="6" max="6" width="11.88671875" style="309" customWidth="1"/>
    <col min="7" max="7" width="16" style="309" customWidth="1"/>
    <col min="8" max="8" width="13.33203125" style="309" bestFit="1" customWidth="1"/>
    <col min="9" max="9" width="12" style="309"/>
    <col min="10" max="10" width="17.21875" style="309" bestFit="1" customWidth="1"/>
    <col min="11" max="16384" width="12" style="309"/>
  </cols>
  <sheetData>
    <row r="2" spans="2:11" ht="22.5" customHeight="1" x14ac:dyDescent="0.35">
      <c r="B2" s="310" t="s">
        <v>35</v>
      </c>
      <c r="C2" s="310" t="s">
        <v>36</v>
      </c>
      <c r="D2" s="310" t="s">
        <v>37</v>
      </c>
      <c r="G2" s="311"/>
    </row>
    <row r="3" spans="2:11" ht="19.05" customHeight="1" x14ac:dyDescent="0.35">
      <c r="B3" s="312" t="s">
        <v>0</v>
      </c>
      <c r="C3" s="312" t="s">
        <v>1</v>
      </c>
      <c r="D3" s="313">
        <v>1000</v>
      </c>
      <c r="F3" s="309">
        <v>50</v>
      </c>
      <c r="G3" s="321">
        <f>SUM(F3,F5,F7,F9)</f>
        <v>240</v>
      </c>
      <c r="H3" s="325" t="s">
        <v>39</v>
      </c>
      <c r="J3" s="325" t="s">
        <v>44</v>
      </c>
      <c r="K3" s="322">
        <f>COUNT(G3:G8)</f>
        <v>6</v>
      </c>
    </row>
    <row r="4" spans="2:11" ht="19.05" customHeight="1" x14ac:dyDescent="0.35">
      <c r="B4" s="312" t="s">
        <v>2</v>
      </c>
      <c r="C4" s="312" t="s">
        <v>38</v>
      </c>
      <c r="D4" s="313">
        <v>5000</v>
      </c>
      <c r="E4" s="309">
        <v>40</v>
      </c>
      <c r="G4" s="321">
        <f>SUM(E4,E6,E8)</f>
        <v>200</v>
      </c>
      <c r="H4" s="325" t="s">
        <v>39</v>
      </c>
      <c r="J4" s="325" t="s">
        <v>44</v>
      </c>
      <c r="K4" s="322">
        <f>COUNT(C3:C9)</f>
        <v>0</v>
      </c>
    </row>
    <row r="5" spans="2:11" ht="19.05" customHeight="1" x14ac:dyDescent="0.35">
      <c r="B5" s="312" t="s">
        <v>4</v>
      </c>
      <c r="C5" s="312" t="s">
        <v>5</v>
      </c>
      <c r="D5" s="313">
        <v>1000</v>
      </c>
      <c r="F5" s="309">
        <v>10</v>
      </c>
      <c r="G5" s="321">
        <f>AVERAGE(F3,F7,F9,F5)</f>
        <v>60</v>
      </c>
      <c r="H5" s="326" t="s">
        <v>42</v>
      </c>
      <c r="I5" s="314"/>
      <c r="J5" s="308"/>
    </row>
    <row r="6" spans="2:11" ht="19.05" customHeight="1" x14ac:dyDescent="0.35">
      <c r="B6" s="312" t="s">
        <v>6</v>
      </c>
      <c r="C6" s="312" t="s">
        <v>7</v>
      </c>
      <c r="D6" s="313">
        <v>3500</v>
      </c>
      <c r="E6" s="309">
        <v>70</v>
      </c>
      <c r="G6" s="321">
        <f>AVERAGE(E4,E6,E8)</f>
        <v>66.666666666666671</v>
      </c>
      <c r="H6" s="326" t="s">
        <v>42</v>
      </c>
      <c r="I6" s="314"/>
      <c r="J6" s="325" t="s">
        <v>45</v>
      </c>
      <c r="K6" s="322">
        <f>COUNTA(H3:H8)</f>
        <v>6</v>
      </c>
    </row>
    <row r="7" spans="2:11" ht="19.05" customHeight="1" x14ac:dyDescent="0.35">
      <c r="B7" s="312" t="s">
        <v>8</v>
      </c>
      <c r="C7" s="312" t="s">
        <v>9</v>
      </c>
      <c r="D7" s="313">
        <v>3000</v>
      </c>
      <c r="F7" s="309">
        <v>80</v>
      </c>
      <c r="G7" s="321">
        <f>PRODUCT(E4,E6,E8)</f>
        <v>252000</v>
      </c>
      <c r="H7" s="325" t="s">
        <v>40</v>
      </c>
      <c r="J7" s="325" t="s">
        <v>45</v>
      </c>
      <c r="K7" s="322">
        <f>COUNTA(G3:H8)</f>
        <v>12</v>
      </c>
    </row>
    <row r="8" spans="2:11" ht="19.05" customHeight="1" x14ac:dyDescent="0.35">
      <c r="B8" s="312" t="s">
        <v>10</v>
      </c>
      <c r="C8" s="315" t="s">
        <v>41</v>
      </c>
      <c r="D8" s="313">
        <v>4000</v>
      </c>
      <c r="E8" s="309">
        <v>90</v>
      </c>
      <c r="G8" s="321">
        <f>PRODUCT(F3,F5,F7)</f>
        <v>40000</v>
      </c>
      <c r="H8" s="325" t="s">
        <v>40</v>
      </c>
      <c r="J8" s="325" t="s">
        <v>45</v>
      </c>
      <c r="K8" s="322">
        <f>COUNTA(F3:H8)</f>
        <v>15</v>
      </c>
    </row>
    <row r="9" spans="2:11" ht="19.05" customHeight="1" x14ac:dyDescent="0.35">
      <c r="B9" s="312" t="s">
        <v>12</v>
      </c>
      <c r="C9" s="315" t="s">
        <v>13</v>
      </c>
      <c r="D9" s="313">
        <v>4000</v>
      </c>
      <c r="F9" s="317">
        <v>100</v>
      </c>
      <c r="J9" s="308"/>
    </row>
    <row r="10" spans="2:11" ht="19.05" customHeight="1" x14ac:dyDescent="0.35">
      <c r="B10" s="714" t="s">
        <v>43</v>
      </c>
      <c r="C10" s="715"/>
      <c r="D10" s="318">
        <f>SUM(D3:D9)</f>
        <v>21500</v>
      </c>
      <c r="E10" s="318">
        <f>SUM(E3:E9)</f>
        <v>200</v>
      </c>
      <c r="J10" s="325" t="s">
        <v>47</v>
      </c>
      <c r="K10" s="322">
        <f>COUNTBLANK(H3:H8)</f>
        <v>0</v>
      </c>
    </row>
    <row r="11" spans="2:11" ht="19.05" customHeight="1" x14ac:dyDescent="0.35">
      <c r="C11" s="318"/>
      <c r="D11" s="312"/>
      <c r="E11" s="312"/>
      <c r="F11" s="319"/>
      <c r="J11" s="325" t="s">
        <v>47</v>
      </c>
      <c r="K11" s="322">
        <f>COUNTBLANK(J3:J9)</f>
        <v>2</v>
      </c>
    </row>
    <row r="12" spans="2:11" ht="19.05" customHeight="1" x14ac:dyDescent="0.35">
      <c r="C12" s="327" t="s">
        <v>46</v>
      </c>
      <c r="D12" s="323">
        <f>MIN(D3:D9)</f>
        <v>1000</v>
      </c>
      <c r="F12" s="320"/>
      <c r="G12" s="325" t="s">
        <v>46</v>
      </c>
      <c r="H12" s="322">
        <f>MIN(F3:F9)</f>
        <v>10</v>
      </c>
      <c r="J12" s="325" t="s">
        <v>47</v>
      </c>
      <c r="K12" s="322">
        <f>COUNTBLANK(D3:E9)</f>
        <v>4</v>
      </c>
    </row>
    <row r="13" spans="2:11" ht="19.05" customHeight="1" x14ac:dyDescent="0.35">
      <c r="B13" s="316"/>
      <c r="C13" s="328" t="s">
        <v>48</v>
      </c>
      <c r="D13" s="324">
        <f>MAX(D3:D9)</f>
        <v>5000</v>
      </c>
      <c r="F13" s="320"/>
      <c r="G13" s="325" t="s">
        <v>48</v>
      </c>
      <c r="H13" s="322">
        <f>MAX(F3:F9)</f>
        <v>100</v>
      </c>
    </row>
  </sheetData>
  <sheetProtection selectLockedCells="1" selectUnlockedCells="1"/>
  <mergeCells count="1">
    <mergeCell ref="B10:C1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B4051-EE1C-4D24-A610-9CC6DBC73E28}">
  <dimension ref="B2:I30"/>
  <sheetViews>
    <sheetView zoomScaleNormal="100" workbookViewId="0">
      <selection activeCell="C19" sqref="C19"/>
    </sheetView>
  </sheetViews>
  <sheetFormatPr defaultColWidth="8.77734375" defaultRowHeight="15" x14ac:dyDescent="0.3"/>
  <cols>
    <col min="1" max="1" width="8.77734375" style="14" customWidth="1"/>
    <col min="2" max="2" width="18.44140625" style="14" bestFit="1" customWidth="1"/>
    <col min="3" max="3" width="20.21875" style="14" customWidth="1"/>
    <col min="4" max="4" width="12.77734375" style="14" bestFit="1" customWidth="1"/>
    <col min="5" max="5" width="11.33203125" style="14" bestFit="1" customWidth="1"/>
    <col min="6" max="6" width="10.21875" style="14" bestFit="1" customWidth="1"/>
    <col min="7" max="16384" width="8.77734375" style="14"/>
  </cols>
  <sheetData>
    <row r="2" spans="2:9" x14ac:dyDescent="0.3">
      <c r="B2" s="7" t="s">
        <v>35</v>
      </c>
      <c r="C2" s="7" t="s">
        <v>36</v>
      </c>
      <c r="D2" s="7" t="s">
        <v>37</v>
      </c>
    </row>
    <row r="3" spans="2:9" x14ac:dyDescent="0.3">
      <c r="B3" s="9" t="s">
        <v>0</v>
      </c>
      <c r="C3" s="9" t="s">
        <v>1</v>
      </c>
      <c r="D3" s="9">
        <v>1000</v>
      </c>
      <c r="E3" s="10"/>
      <c r="F3" s="14">
        <v>10</v>
      </c>
      <c r="I3" s="11" t="e">
        <f>SUM(#REF!)</f>
        <v>#REF!</v>
      </c>
    </row>
    <row r="4" spans="2:9" hidden="1" x14ac:dyDescent="0.3">
      <c r="B4" s="9" t="s">
        <v>2</v>
      </c>
      <c r="C4" s="9" t="s">
        <v>38</v>
      </c>
      <c r="D4" s="9">
        <v>5000</v>
      </c>
      <c r="F4" s="14">
        <v>90</v>
      </c>
    </row>
    <row r="5" spans="2:9" x14ac:dyDescent="0.3">
      <c r="B5" s="9" t="s">
        <v>4</v>
      </c>
      <c r="C5" s="9" t="s">
        <v>5</v>
      </c>
      <c r="D5" s="9">
        <v>1000</v>
      </c>
      <c r="F5" s="14">
        <v>70</v>
      </c>
    </row>
    <row r="6" spans="2:9" hidden="1" x14ac:dyDescent="0.3">
      <c r="B6" s="9" t="s">
        <v>6</v>
      </c>
      <c r="C6" s="9" t="s">
        <v>7</v>
      </c>
      <c r="D6" s="9">
        <v>3500</v>
      </c>
      <c r="F6" s="14">
        <v>50</v>
      </c>
    </row>
    <row r="7" spans="2:9" x14ac:dyDescent="0.3">
      <c r="B7" s="9" t="s">
        <v>8</v>
      </c>
      <c r="C7" s="9" t="s">
        <v>9</v>
      </c>
      <c r="D7" s="9">
        <v>3000</v>
      </c>
      <c r="F7" s="14">
        <v>40</v>
      </c>
      <c r="I7" s="11" t="e">
        <f>SUM(#REF!)</f>
        <v>#REF!</v>
      </c>
    </row>
    <row r="8" spans="2:9" hidden="1" x14ac:dyDescent="0.3">
      <c r="B8" s="12" t="s">
        <v>10</v>
      </c>
      <c r="C8" s="12" t="s">
        <v>41</v>
      </c>
      <c r="D8" s="9">
        <v>4000</v>
      </c>
      <c r="F8" s="14">
        <v>23</v>
      </c>
    </row>
    <row r="9" spans="2:9" x14ac:dyDescent="0.3">
      <c r="B9" s="12" t="s">
        <v>12</v>
      </c>
      <c r="C9" s="12" t="s">
        <v>13</v>
      </c>
      <c r="D9" s="9">
        <v>4000</v>
      </c>
      <c r="F9" s="14">
        <v>50</v>
      </c>
      <c r="H9" s="11"/>
    </row>
    <row r="10" spans="2:9" x14ac:dyDescent="0.3">
      <c r="B10" s="12" t="s">
        <v>43</v>
      </c>
      <c r="C10" s="12"/>
      <c r="D10" s="13">
        <f>SUM(D3:D9)</f>
        <v>21500</v>
      </c>
      <c r="F10" s="11">
        <f>SUM(F3:F9)</f>
        <v>333</v>
      </c>
    </row>
    <row r="11" spans="2:9" x14ac:dyDescent="0.3">
      <c r="H11" s="301"/>
    </row>
    <row r="12" spans="2:9" x14ac:dyDescent="0.3">
      <c r="I12" s="11"/>
    </row>
    <row r="13" spans="2:9" ht="15.6" x14ac:dyDescent="0.35">
      <c r="B13" s="302" t="str">
        <f t="array" ref="B13:D13">{"red","white","green"}</f>
        <v>red</v>
      </c>
      <c r="C13" s="302" t="str">
        <v>white</v>
      </c>
      <c r="D13" s="302" t="str">
        <v>green</v>
      </c>
    </row>
    <row r="18" spans="2:8" x14ac:dyDescent="0.3">
      <c r="B18" s="14" t="s">
        <v>484</v>
      </c>
      <c r="C18" s="14" t="s">
        <v>485</v>
      </c>
    </row>
    <row r="20" spans="2:8" x14ac:dyDescent="0.3">
      <c r="B20" s="14" t="s">
        <v>486</v>
      </c>
      <c r="C20" s="14" t="s">
        <v>487</v>
      </c>
    </row>
    <row r="22" spans="2:8" x14ac:dyDescent="0.3">
      <c r="B22" s="14" t="s">
        <v>488</v>
      </c>
    </row>
    <row r="23" spans="2:8" x14ac:dyDescent="0.3">
      <c r="C23" s="14" t="s">
        <v>484</v>
      </c>
    </row>
    <row r="30" spans="2:8" x14ac:dyDescent="0.3">
      <c r="H30" s="14" t="s">
        <v>49</v>
      </c>
    </row>
  </sheetData>
  <sheetProtection formatCells="0"/>
  <conditionalFormatting sqref="D3:D10">
    <cfRule type="dataBar" priority="7">
      <dataBar>
        <cfvo type="min"/>
        <cfvo type="max"/>
        <color rgb="FF638EC6"/>
      </dataBar>
      <extLst>
        <ext xmlns:x14="http://schemas.microsoft.com/office/spreadsheetml/2009/9/main" uri="{B025F937-C7B1-47D3-B67F-A62EFF666E3E}">
          <x14:id>{3727B016-FDFD-4409-838B-CBBBA689646D}</x14:id>
        </ext>
      </extLst>
    </cfRule>
  </conditionalFormatting>
  <conditionalFormatting sqref="E3">
    <cfRule type="dataBar" priority="8">
      <dataBar>
        <cfvo type="min"/>
        <cfvo type="max"/>
        <color rgb="FF008AEF"/>
      </dataBar>
      <extLst>
        <ext xmlns:x14="http://schemas.microsoft.com/office/spreadsheetml/2009/9/main" uri="{B025F937-C7B1-47D3-B67F-A62EFF666E3E}">
          <x14:id>{5494B984-2DD4-4A60-9744-046286987EEF}</x14:id>
        </ext>
      </extLst>
    </cfRule>
  </conditionalFormatting>
  <conditionalFormatting sqref="I3">
    <cfRule type="dataBar" priority="1">
      <dataBar>
        <cfvo type="min"/>
        <cfvo type="max"/>
        <color rgb="FF638EC6"/>
      </dataBar>
      <extLst>
        <ext xmlns:x14="http://schemas.microsoft.com/office/spreadsheetml/2009/9/main" uri="{B025F937-C7B1-47D3-B67F-A62EFF666E3E}">
          <x14:id>{462620B6-2A8C-4845-BFFE-88A12B268039}</x14:id>
        </ext>
      </extLst>
    </cfRule>
  </conditionalFormatting>
  <conditionalFormatting sqref="I7">
    <cfRule type="dataBar" priority="2">
      <dataBar>
        <cfvo type="min"/>
        <cfvo type="max"/>
        <color rgb="FF638EC6"/>
      </dataBar>
      <extLst>
        <ext xmlns:x14="http://schemas.microsoft.com/office/spreadsheetml/2009/9/main" uri="{B025F937-C7B1-47D3-B67F-A62EFF666E3E}">
          <x14:id>{D6DAB841-8D10-4228-885E-525F2C9D729C}</x14:id>
        </ext>
      </extLst>
    </cfRule>
  </conditionalFormatting>
  <conditionalFormatting sqref="I15">
    <cfRule type="dataBar" priority="5">
      <dataBar>
        <cfvo type="min"/>
        <cfvo type="max"/>
        <color rgb="FF638EC6"/>
      </dataBar>
      <extLst>
        <ext xmlns:x14="http://schemas.microsoft.com/office/spreadsheetml/2009/9/main" uri="{B025F937-C7B1-47D3-B67F-A62EFF666E3E}">
          <x14:id>{6AA461A9-F756-4858-B7F1-A333E3AA6C3F}</x14:id>
        </ext>
      </extLst>
    </cfRule>
  </conditionalFormatting>
  <conditionalFormatting sqref="J12">
    <cfRule type="dataBar" priority="6">
      <dataBar>
        <cfvo type="min"/>
        <cfvo type="max"/>
        <color rgb="FF638EC6"/>
      </dataBar>
      <extLst>
        <ext xmlns:x14="http://schemas.microsoft.com/office/spreadsheetml/2009/9/main" uri="{B025F937-C7B1-47D3-B67F-A62EFF666E3E}">
          <x14:id>{463351B2-E1BC-425F-9D52-6A6AF0B00B7F}</x14:id>
        </ext>
      </extLst>
    </cfRule>
  </conditionalFormatting>
  <conditionalFormatting sqref="K8">
    <cfRule type="dataBar" priority="3">
      <dataBar>
        <cfvo type="min"/>
        <cfvo type="max"/>
        <color rgb="FF638EC6"/>
      </dataBar>
      <extLst>
        <ext xmlns:x14="http://schemas.microsoft.com/office/spreadsheetml/2009/9/main" uri="{B025F937-C7B1-47D3-B67F-A62EFF666E3E}">
          <x14:id>{662E1EC2-C3EE-4F34-9C84-4A821627A890}</x14:id>
        </ext>
      </extLst>
    </cfRule>
  </conditionalFormatting>
  <conditionalFormatting sqref="K13">
    <cfRule type="dataBar" priority="4">
      <dataBar>
        <cfvo type="min"/>
        <cfvo type="max"/>
        <color rgb="FF638EC6"/>
      </dataBar>
      <extLst>
        <ext xmlns:x14="http://schemas.microsoft.com/office/spreadsheetml/2009/9/main" uri="{B025F937-C7B1-47D3-B67F-A62EFF666E3E}">
          <x14:id>{C371EE43-3C50-4C91-9482-D84B2F370E5A}</x14:id>
        </ext>
      </extLst>
    </cfRule>
  </conditionalFormatting>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3727B016-FDFD-4409-838B-CBBBA689646D}">
            <x14:dataBar minLength="0" maxLength="100" border="1" negativeBarBorderColorSameAsPositive="0">
              <x14:cfvo type="autoMin"/>
              <x14:cfvo type="autoMax"/>
              <x14:borderColor rgb="FF638EC6"/>
              <x14:negativeFillColor rgb="FFFF0000"/>
              <x14:negativeBorderColor rgb="FFFF0000"/>
              <x14:axisColor rgb="FF000000"/>
            </x14:dataBar>
          </x14:cfRule>
          <xm:sqref>D3:D10</xm:sqref>
        </x14:conditionalFormatting>
        <x14:conditionalFormatting xmlns:xm="http://schemas.microsoft.com/office/excel/2006/main">
          <x14:cfRule type="dataBar" id="{5494B984-2DD4-4A60-9744-046286987EEF}">
            <x14:dataBar minLength="0" maxLength="100" border="1" negativeBarBorderColorSameAsPositive="0">
              <x14:cfvo type="autoMin"/>
              <x14:cfvo type="autoMax"/>
              <x14:borderColor rgb="FF008AEF"/>
              <x14:negativeFillColor rgb="FFFF0000"/>
              <x14:negativeBorderColor rgb="FFFF0000"/>
              <x14:axisColor rgb="FF000000"/>
            </x14:dataBar>
          </x14:cfRule>
          <xm:sqref>E3</xm:sqref>
        </x14:conditionalFormatting>
        <x14:conditionalFormatting xmlns:xm="http://schemas.microsoft.com/office/excel/2006/main">
          <x14:cfRule type="dataBar" id="{462620B6-2A8C-4845-BFFE-88A12B268039}">
            <x14:dataBar minLength="0" maxLength="100" border="1" negativeBarBorderColorSameAsPositive="0">
              <x14:cfvo type="autoMin"/>
              <x14:cfvo type="autoMax"/>
              <x14:borderColor rgb="FF638EC6"/>
              <x14:negativeFillColor rgb="FFFF0000"/>
              <x14:negativeBorderColor rgb="FFFF0000"/>
              <x14:axisColor rgb="FF000000"/>
            </x14:dataBar>
          </x14:cfRule>
          <xm:sqref>I3</xm:sqref>
        </x14:conditionalFormatting>
        <x14:conditionalFormatting xmlns:xm="http://schemas.microsoft.com/office/excel/2006/main">
          <x14:cfRule type="dataBar" id="{D6DAB841-8D10-4228-885E-525F2C9D729C}">
            <x14:dataBar minLength="0" maxLength="100" border="1" negativeBarBorderColorSameAsPositive="0">
              <x14:cfvo type="autoMin"/>
              <x14:cfvo type="autoMax"/>
              <x14:borderColor rgb="FF638EC6"/>
              <x14:negativeFillColor rgb="FFFF0000"/>
              <x14:negativeBorderColor rgb="FFFF0000"/>
              <x14:axisColor rgb="FF000000"/>
            </x14:dataBar>
          </x14:cfRule>
          <xm:sqref>I7</xm:sqref>
        </x14:conditionalFormatting>
        <x14:conditionalFormatting xmlns:xm="http://schemas.microsoft.com/office/excel/2006/main">
          <x14:cfRule type="dataBar" id="{6AA461A9-F756-4858-B7F1-A333E3AA6C3F}">
            <x14:dataBar minLength="0" maxLength="100" border="1" negativeBarBorderColorSameAsPositive="0">
              <x14:cfvo type="autoMin"/>
              <x14:cfvo type="autoMax"/>
              <x14:borderColor rgb="FF638EC6"/>
              <x14:negativeFillColor rgb="FFFF0000"/>
              <x14:negativeBorderColor rgb="FFFF0000"/>
              <x14:axisColor rgb="FF000000"/>
            </x14:dataBar>
          </x14:cfRule>
          <xm:sqref>I15</xm:sqref>
        </x14:conditionalFormatting>
        <x14:conditionalFormatting xmlns:xm="http://schemas.microsoft.com/office/excel/2006/main">
          <x14:cfRule type="dataBar" id="{463351B2-E1BC-425F-9D52-6A6AF0B00B7F}">
            <x14:dataBar minLength="0" maxLength="100" border="1" negativeBarBorderColorSameAsPositive="0">
              <x14:cfvo type="autoMin"/>
              <x14:cfvo type="autoMax"/>
              <x14:borderColor rgb="FF638EC6"/>
              <x14:negativeFillColor rgb="FFFF0000"/>
              <x14:negativeBorderColor rgb="FFFF0000"/>
              <x14:axisColor rgb="FF000000"/>
            </x14:dataBar>
          </x14:cfRule>
          <xm:sqref>J12</xm:sqref>
        </x14:conditionalFormatting>
        <x14:conditionalFormatting xmlns:xm="http://schemas.microsoft.com/office/excel/2006/main">
          <x14:cfRule type="dataBar" id="{662E1EC2-C3EE-4F34-9C84-4A821627A890}">
            <x14:dataBar minLength="0" maxLength="100" border="1" negativeBarBorderColorSameAsPositive="0">
              <x14:cfvo type="autoMin"/>
              <x14:cfvo type="autoMax"/>
              <x14:borderColor rgb="FF638EC6"/>
              <x14:negativeFillColor rgb="FFFF0000"/>
              <x14:negativeBorderColor rgb="FFFF0000"/>
              <x14:axisColor rgb="FF000000"/>
            </x14:dataBar>
          </x14:cfRule>
          <xm:sqref>K8</xm:sqref>
        </x14:conditionalFormatting>
        <x14:conditionalFormatting xmlns:xm="http://schemas.microsoft.com/office/excel/2006/main">
          <x14:cfRule type="dataBar" id="{C371EE43-3C50-4C91-9482-D84B2F370E5A}">
            <x14:dataBar minLength="0" maxLength="100" border="1" negativeBarBorderColorSameAsPositive="0">
              <x14:cfvo type="autoMin"/>
              <x14:cfvo type="autoMax"/>
              <x14:borderColor rgb="FF638EC6"/>
              <x14:negativeFillColor rgb="FFFF0000"/>
              <x14:negativeBorderColor rgb="FFFF0000"/>
              <x14:axisColor rgb="FF000000"/>
            </x14:dataBar>
          </x14:cfRule>
          <xm:sqref>K13</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54968-3B61-4C5B-8735-E5707DFC2BC8}">
  <dimension ref="A2:I38"/>
  <sheetViews>
    <sheetView topLeftCell="A24" zoomScaleNormal="100" workbookViewId="0">
      <selection activeCell="C19" sqref="C19"/>
    </sheetView>
  </sheetViews>
  <sheetFormatPr defaultColWidth="8.77734375" defaultRowHeight="14.4" x14ac:dyDescent="0.3"/>
  <cols>
    <col min="1" max="1" width="8.77734375" style="16"/>
    <col min="2" max="2" width="11.21875" style="16" bestFit="1" customWidth="1"/>
    <col min="3" max="3" width="16.5546875" style="16" bestFit="1" customWidth="1"/>
    <col min="4" max="5" width="8.77734375" style="16"/>
    <col min="6" max="6" width="13.109375" style="16" customWidth="1"/>
    <col min="7" max="16384" width="8.77734375" style="16"/>
  </cols>
  <sheetData>
    <row r="2" spans="2:9" ht="15.6" x14ac:dyDescent="0.3">
      <c r="B2" s="17" t="s">
        <v>35</v>
      </c>
      <c r="C2" s="17" t="s">
        <v>36</v>
      </c>
      <c r="D2" s="17" t="s">
        <v>37</v>
      </c>
      <c r="E2" s="18"/>
      <c r="F2" s="18"/>
      <c r="G2" s="18"/>
      <c r="H2" s="18"/>
      <c r="I2" s="18"/>
    </row>
    <row r="3" spans="2:9" ht="15.6" x14ac:dyDescent="0.3">
      <c r="B3" s="19" t="s">
        <v>0</v>
      </c>
      <c r="C3" s="19" t="s">
        <v>3</v>
      </c>
      <c r="D3" s="19">
        <v>1000</v>
      </c>
      <c r="E3" s="20"/>
      <c r="F3" s="18">
        <v>100</v>
      </c>
      <c r="G3" s="18"/>
      <c r="H3" s="18"/>
      <c r="I3" s="21" t="e">
        <f>SUM(#REF!)</f>
        <v>#REF!</v>
      </c>
    </row>
    <row r="4" spans="2:9" ht="15.6" x14ac:dyDescent="0.3">
      <c r="B4" s="19" t="s">
        <v>2</v>
      </c>
      <c r="C4" s="19" t="s">
        <v>3</v>
      </c>
      <c r="D4" s="19">
        <v>5000</v>
      </c>
      <c r="E4" s="18"/>
      <c r="F4" s="18">
        <v>90</v>
      </c>
      <c r="G4" s="18"/>
      <c r="H4" s="18"/>
      <c r="I4" s="18"/>
    </row>
    <row r="5" spans="2:9" ht="15.6" x14ac:dyDescent="0.3">
      <c r="B5" s="19" t="s">
        <v>4</v>
      </c>
      <c r="C5" s="19" t="s">
        <v>5</v>
      </c>
      <c r="D5" s="19">
        <v>1000</v>
      </c>
      <c r="E5" s="18"/>
      <c r="F5" s="18">
        <v>70</v>
      </c>
      <c r="G5" s="18"/>
      <c r="H5" s="18"/>
      <c r="I5" s="18"/>
    </row>
    <row r="6" spans="2:9" ht="15.6" x14ac:dyDescent="0.3">
      <c r="B6" s="19" t="s">
        <v>6</v>
      </c>
      <c r="C6" s="19" t="s">
        <v>7</v>
      </c>
      <c r="D6" s="19">
        <v>3500</v>
      </c>
      <c r="E6" s="18"/>
      <c r="F6" s="18">
        <v>60</v>
      </c>
      <c r="G6" s="18"/>
      <c r="H6" s="18"/>
      <c r="I6" s="18"/>
    </row>
    <row r="7" spans="2:9" ht="15.6" x14ac:dyDescent="0.3">
      <c r="B7" s="19" t="s">
        <v>8</v>
      </c>
      <c r="C7" s="19" t="s">
        <v>9</v>
      </c>
      <c r="D7" s="19">
        <v>3000</v>
      </c>
      <c r="E7" s="18"/>
      <c r="F7" s="18">
        <v>40</v>
      </c>
      <c r="G7" s="18"/>
      <c r="H7" s="18"/>
      <c r="I7" s="21" t="e">
        <f>SUM(#REF!)</f>
        <v>#REF!</v>
      </c>
    </row>
    <row r="8" spans="2:9" ht="15.6" x14ac:dyDescent="0.3">
      <c r="B8" s="22" t="s">
        <v>10</v>
      </c>
      <c r="C8" s="23" t="s">
        <v>490</v>
      </c>
      <c r="D8" s="19">
        <v>4000</v>
      </c>
      <c r="E8" s="18"/>
      <c r="F8" s="18">
        <v>23</v>
      </c>
      <c r="G8" s="18"/>
      <c r="H8" s="18"/>
      <c r="I8" s="18"/>
    </row>
    <row r="9" spans="2:9" ht="15.6" x14ac:dyDescent="0.3">
      <c r="B9" s="22" t="s">
        <v>441</v>
      </c>
      <c r="C9" s="22" t="s">
        <v>13</v>
      </c>
      <c r="D9" s="19">
        <v>4000</v>
      </c>
      <c r="E9" s="18"/>
      <c r="F9" s="18">
        <v>60</v>
      </c>
      <c r="G9" s="18"/>
      <c r="H9" s="21"/>
      <c r="I9" s="18"/>
    </row>
    <row r="10" spans="2:9" ht="15.6" x14ac:dyDescent="0.3">
      <c r="B10" s="22" t="s">
        <v>43</v>
      </c>
      <c r="C10" s="22"/>
      <c r="D10" s="24">
        <f>SUM(D3:D9)</f>
        <v>21500</v>
      </c>
      <c r="E10" s="18"/>
      <c r="F10" s="21">
        <f>SUM(F3:F9)</f>
        <v>443</v>
      </c>
      <c r="G10" s="18"/>
      <c r="H10" s="18"/>
      <c r="I10" s="18"/>
    </row>
    <row r="11" spans="2:9" ht="15.6" x14ac:dyDescent="0.3">
      <c r="B11" s="18"/>
      <c r="C11" s="18"/>
      <c r="D11" s="18"/>
      <c r="E11" s="18"/>
      <c r="F11" s="18"/>
      <c r="G11" s="18"/>
      <c r="H11" s="25"/>
      <c r="I11" s="18"/>
    </row>
    <row r="12" spans="2:9" x14ac:dyDescent="0.3">
      <c r="B12" s="15"/>
      <c r="C12" s="15"/>
      <c r="D12" s="15"/>
      <c r="E12" s="15"/>
      <c r="F12" s="15"/>
      <c r="G12" s="15"/>
      <c r="H12" s="15"/>
      <c r="I12" s="15"/>
    </row>
    <row r="13" spans="2:9" x14ac:dyDescent="0.3">
      <c r="B13" s="15"/>
      <c r="C13" s="15"/>
      <c r="D13" s="15"/>
      <c r="E13" s="15"/>
      <c r="F13" s="15"/>
      <c r="G13" s="15"/>
      <c r="H13" s="15"/>
      <c r="I13" s="15"/>
    </row>
    <row r="14" spans="2:9" x14ac:dyDescent="0.3">
      <c r="B14" s="15"/>
      <c r="C14" s="15"/>
      <c r="D14" s="15"/>
      <c r="E14" s="15"/>
      <c r="F14" s="15"/>
      <c r="G14" s="15"/>
      <c r="H14" s="15"/>
      <c r="I14" s="15"/>
    </row>
    <row r="15" spans="2:9" x14ac:dyDescent="0.3">
      <c r="B15" s="15"/>
      <c r="C15" s="15"/>
      <c r="D15" s="15"/>
      <c r="E15" s="15"/>
      <c r="F15" s="15" t="s">
        <v>13</v>
      </c>
      <c r="G15" s="15"/>
      <c r="H15" s="15"/>
      <c r="I15" s="15"/>
    </row>
    <row r="16" spans="2:9" x14ac:dyDescent="0.3">
      <c r="B16" s="15"/>
      <c r="C16" s="15"/>
      <c r="D16" s="15" t="s">
        <v>490</v>
      </c>
      <c r="E16" s="15"/>
      <c r="F16" s="15"/>
      <c r="G16" s="15"/>
      <c r="H16" s="15"/>
      <c r="I16" s="15"/>
    </row>
    <row r="17" spans="1:9" x14ac:dyDescent="0.3">
      <c r="A17" s="15" t="s">
        <v>3</v>
      </c>
      <c r="B17" s="15"/>
      <c r="C17" s="15"/>
      <c r="D17" s="15"/>
      <c r="E17" s="15"/>
      <c r="F17" s="15"/>
      <c r="G17" s="15"/>
      <c r="H17" s="15"/>
      <c r="I17" s="15"/>
    </row>
    <row r="18" spans="1:9" x14ac:dyDescent="0.3">
      <c r="A18" s="15"/>
      <c r="B18" s="15"/>
      <c r="C18" s="15"/>
      <c r="D18" s="15"/>
      <c r="E18" s="15"/>
      <c r="F18" s="15"/>
      <c r="G18" s="15"/>
      <c r="H18" s="15"/>
      <c r="I18" s="15" t="s">
        <v>3</v>
      </c>
    </row>
    <row r="19" spans="1:9" x14ac:dyDescent="0.3">
      <c r="A19" s="15"/>
      <c r="B19" s="15"/>
      <c r="C19" s="15"/>
      <c r="D19" s="15"/>
      <c r="E19" s="15"/>
      <c r="F19" s="15"/>
      <c r="G19" s="15"/>
      <c r="H19" s="15"/>
      <c r="I19" s="15"/>
    </row>
    <row r="20" spans="1:9" x14ac:dyDescent="0.3">
      <c r="A20" s="15"/>
      <c r="B20" s="15"/>
      <c r="C20" s="15"/>
      <c r="D20" s="15"/>
      <c r="E20" s="15"/>
      <c r="F20" s="15"/>
      <c r="G20" s="15"/>
      <c r="H20" s="15"/>
      <c r="I20" s="15"/>
    </row>
    <row r="21" spans="1:9" x14ac:dyDescent="0.3">
      <c r="A21" s="15"/>
      <c r="B21" s="15"/>
      <c r="C21" s="15"/>
      <c r="D21" s="15"/>
      <c r="E21" s="15"/>
      <c r="F21" s="15"/>
      <c r="G21" s="15"/>
      <c r="H21" s="15"/>
      <c r="I21" s="15"/>
    </row>
    <row r="22" spans="1:9" x14ac:dyDescent="0.3">
      <c r="A22" s="15"/>
      <c r="B22" s="15"/>
      <c r="C22" s="15"/>
      <c r="D22" s="15"/>
      <c r="E22" s="15"/>
      <c r="F22" s="15"/>
      <c r="G22" s="15"/>
      <c r="H22" s="15"/>
      <c r="I22" s="15"/>
    </row>
    <row r="23" spans="1:9" x14ac:dyDescent="0.3">
      <c r="A23" s="15"/>
      <c r="B23" s="15"/>
      <c r="C23" s="15"/>
      <c r="D23" s="15"/>
      <c r="E23" s="15" t="s">
        <v>2</v>
      </c>
      <c r="F23" s="15"/>
      <c r="G23" s="15"/>
      <c r="H23" s="15"/>
      <c r="I23" s="15"/>
    </row>
    <row r="24" spans="1:9" x14ac:dyDescent="0.3">
      <c r="A24" s="15"/>
      <c r="B24" s="15"/>
      <c r="C24" s="15"/>
      <c r="D24" s="15"/>
      <c r="E24" s="15"/>
      <c r="F24" s="15"/>
      <c r="G24" s="15"/>
      <c r="H24" s="15"/>
      <c r="I24" s="15"/>
    </row>
    <row r="25" spans="1:9" x14ac:dyDescent="0.3">
      <c r="A25" s="15"/>
      <c r="B25" s="15"/>
      <c r="C25" s="15" t="s">
        <v>489</v>
      </c>
      <c r="D25" s="15"/>
      <c r="E25" s="15"/>
      <c r="F25" s="15"/>
      <c r="G25" s="15"/>
      <c r="H25" s="15"/>
      <c r="I25" s="15"/>
    </row>
    <row r="26" spans="1:9" x14ac:dyDescent="0.3">
      <c r="A26" s="15"/>
      <c r="B26" s="15"/>
      <c r="C26" s="15"/>
      <c r="D26" s="15"/>
      <c r="E26" s="15"/>
      <c r="F26" s="15"/>
      <c r="G26" s="15"/>
      <c r="H26" s="15"/>
      <c r="I26" s="15" t="s">
        <v>441</v>
      </c>
    </row>
    <row r="27" spans="1:9" x14ac:dyDescent="0.3">
      <c r="A27" s="15"/>
      <c r="B27" s="15"/>
      <c r="D27" s="15"/>
      <c r="E27" s="15"/>
      <c r="F27" s="15"/>
      <c r="G27" s="15"/>
      <c r="H27" s="15"/>
      <c r="I27" s="15"/>
    </row>
    <row r="28" spans="1:9" x14ac:dyDescent="0.3">
      <c r="A28" s="15"/>
      <c r="B28" s="15"/>
      <c r="C28" s="15"/>
      <c r="D28" s="15"/>
      <c r="E28" s="15"/>
      <c r="F28" s="15"/>
      <c r="G28" s="15"/>
      <c r="H28" s="15"/>
      <c r="I28" s="15"/>
    </row>
    <row r="29" spans="1:9" x14ac:dyDescent="0.3">
      <c r="A29" s="15"/>
      <c r="B29" s="15"/>
      <c r="C29" s="15"/>
      <c r="D29" s="15"/>
      <c r="E29" s="15"/>
      <c r="F29" s="15"/>
      <c r="G29" s="15"/>
      <c r="H29" s="15"/>
      <c r="I29" s="15"/>
    </row>
    <row r="30" spans="1:9" x14ac:dyDescent="0.3">
      <c r="A30" s="15"/>
      <c r="B30" s="15"/>
      <c r="C30" s="15"/>
      <c r="D30" s="15"/>
      <c r="E30" s="15"/>
      <c r="F30" s="15"/>
      <c r="G30" s="15"/>
      <c r="H30" s="15"/>
      <c r="I30" s="15"/>
    </row>
    <row r="31" spans="1:9" x14ac:dyDescent="0.3">
      <c r="A31" s="15"/>
      <c r="B31" s="15"/>
      <c r="C31" s="15"/>
      <c r="D31" s="26" t="s">
        <v>0</v>
      </c>
      <c r="E31" s="15"/>
      <c r="F31" s="15"/>
      <c r="G31" s="15"/>
      <c r="H31" s="15"/>
      <c r="I31" s="15"/>
    </row>
    <row r="32" spans="1:9" x14ac:dyDescent="0.3">
      <c r="A32" s="15"/>
      <c r="B32" s="15"/>
      <c r="C32" s="15"/>
      <c r="D32" s="26" t="s">
        <v>2</v>
      </c>
      <c r="E32" s="15"/>
      <c r="F32" s="15"/>
      <c r="G32" s="15"/>
      <c r="H32" s="15"/>
      <c r="I32" s="15"/>
    </row>
    <row r="33" spans="4:4" x14ac:dyDescent="0.3">
      <c r="D33" s="26" t="s">
        <v>4</v>
      </c>
    </row>
    <row r="34" spans="4:4" x14ac:dyDescent="0.3">
      <c r="D34" s="26" t="s">
        <v>6</v>
      </c>
    </row>
    <row r="35" spans="4:4" x14ac:dyDescent="0.3">
      <c r="D35" s="26" t="s">
        <v>8</v>
      </c>
    </row>
    <row r="36" spans="4:4" x14ac:dyDescent="0.3">
      <c r="D36" s="27" t="s">
        <v>10</v>
      </c>
    </row>
    <row r="37" spans="4:4" x14ac:dyDescent="0.3">
      <c r="D37" s="27" t="s">
        <v>441</v>
      </c>
    </row>
    <row r="38" spans="4:4" x14ac:dyDescent="0.3">
      <c r="D38" s="27" t="s">
        <v>43</v>
      </c>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385AC-A6FF-4DD1-A4B0-3652855E6100}">
  <dimension ref="A1:E6"/>
  <sheetViews>
    <sheetView workbookViewId="0">
      <selection activeCell="C19" sqref="C19"/>
    </sheetView>
  </sheetViews>
  <sheetFormatPr defaultRowHeight="14.4" x14ac:dyDescent="0.3"/>
  <cols>
    <col min="1" max="1" width="11.21875" bestFit="1" customWidth="1"/>
    <col min="3" max="4" width="9.44140625" customWidth="1"/>
  </cols>
  <sheetData>
    <row r="1" spans="1:5" ht="15" x14ac:dyDescent="0.3">
      <c r="A1" s="7" t="s">
        <v>35</v>
      </c>
      <c r="B1" s="7" t="s">
        <v>36</v>
      </c>
      <c r="C1" s="7" t="s">
        <v>37</v>
      </c>
      <c r="D1" s="8"/>
      <c r="E1" s="8"/>
    </row>
    <row r="2" spans="1:5" ht="15" x14ac:dyDescent="0.3">
      <c r="A2" s="9" t="s">
        <v>2</v>
      </c>
      <c r="B2" s="9" t="s">
        <v>38</v>
      </c>
      <c r="C2" s="9">
        <v>5000</v>
      </c>
      <c r="D2" s="8"/>
      <c r="E2" s="8">
        <v>90</v>
      </c>
    </row>
    <row r="3" spans="1:5" ht="15" x14ac:dyDescent="0.3">
      <c r="A3" s="9" t="s">
        <v>6</v>
      </c>
      <c r="B3" s="9" t="s">
        <v>7</v>
      </c>
      <c r="C3" s="9">
        <v>3500</v>
      </c>
      <c r="D3" s="8"/>
      <c r="E3" s="8">
        <v>50</v>
      </c>
    </row>
    <row r="4" spans="1:5" ht="15" x14ac:dyDescent="0.3">
      <c r="A4" s="12" t="s">
        <v>10</v>
      </c>
      <c r="B4" s="12" t="s">
        <v>41</v>
      </c>
      <c r="C4" s="9">
        <v>4000</v>
      </c>
      <c r="D4" s="8"/>
      <c r="E4" s="8">
        <v>23</v>
      </c>
    </row>
    <row r="5" spans="1:5" ht="15" x14ac:dyDescent="0.3">
      <c r="A5" s="12" t="s">
        <v>12</v>
      </c>
      <c r="B5" s="12" t="s">
        <v>13</v>
      </c>
      <c r="C5" s="9">
        <v>4000</v>
      </c>
      <c r="D5" s="8"/>
      <c r="E5" s="8">
        <v>50</v>
      </c>
    </row>
    <row r="6" spans="1:5" ht="15" x14ac:dyDescent="0.3">
      <c r="A6" s="12" t="s">
        <v>43</v>
      </c>
      <c r="B6" s="12"/>
      <c r="C6" s="13">
        <v>21500</v>
      </c>
      <c r="D6" s="8"/>
      <c r="E6" s="11">
        <v>333</v>
      </c>
    </row>
  </sheetData>
  <conditionalFormatting sqref="C2:C6">
    <cfRule type="dataBar" priority="1">
      <dataBar>
        <cfvo type="min"/>
        <cfvo type="max"/>
        <color rgb="FF638EC6"/>
      </dataBar>
      <extLst>
        <ext xmlns:x14="http://schemas.microsoft.com/office/spreadsheetml/2009/9/main" uri="{B025F937-C7B1-47D3-B67F-A62EFF666E3E}">
          <x14:id>{FEF5AF03-4D48-4A9A-8EAB-9827BD63E6C6}</x14:id>
        </ext>
      </extLst>
    </cfRule>
  </conditionalFormatting>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FEF5AF03-4D48-4A9A-8EAB-9827BD63E6C6}">
            <x14:dataBar minLength="0" maxLength="100" border="1" negativeBarBorderColorSameAsPositive="0">
              <x14:cfvo type="autoMin"/>
              <x14:cfvo type="autoMax"/>
              <x14:borderColor rgb="FF638EC6"/>
              <x14:negativeFillColor rgb="FFFF0000"/>
              <x14:negativeBorderColor rgb="FFFF0000"/>
              <x14:axisColor rgb="FF000000"/>
            </x14:dataBar>
          </x14:cfRule>
          <xm:sqref>C2:C6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D31AB-65C2-4F31-A5FB-FFC4DBFC1A4B}">
  <dimension ref="A2:AL58"/>
  <sheetViews>
    <sheetView topLeftCell="A45" zoomScaleNormal="100" workbookViewId="0">
      <selection activeCell="C19" sqref="C19"/>
    </sheetView>
  </sheetViews>
  <sheetFormatPr defaultColWidth="11.109375" defaultRowHeight="14.4" x14ac:dyDescent="0.3"/>
  <cols>
    <col min="1" max="1" width="11.77734375" style="8" customWidth="1"/>
    <col min="2" max="2" width="17.21875" style="8" customWidth="1"/>
    <col min="3" max="3" width="14.88671875" style="8" customWidth="1"/>
    <col min="4" max="4" width="11.77734375" style="8" bestFit="1" customWidth="1"/>
    <col min="5" max="5" width="11.109375" style="8"/>
    <col min="6" max="6" width="11.77734375" style="8" bestFit="1" customWidth="1"/>
    <col min="7" max="16384" width="11.109375" style="8"/>
  </cols>
  <sheetData>
    <row r="2" spans="4:38" ht="15.6" x14ac:dyDescent="0.3">
      <c r="E2" s="303">
        <v>1</v>
      </c>
      <c r="F2" s="303">
        <v>2</v>
      </c>
      <c r="G2" s="303">
        <v>3</v>
      </c>
      <c r="H2" s="303">
        <v>4</v>
      </c>
      <c r="I2" s="303">
        <v>5</v>
      </c>
      <c r="J2" s="303">
        <v>6</v>
      </c>
      <c r="K2" s="303">
        <v>7</v>
      </c>
      <c r="L2" s="303">
        <v>8</v>
      </c>
      <c r="M2" s="303">
        <v>9</v>
      </c>
      <c r="N2" s="303">
        <v>10</v>
      </c>
      <c r="O2" s="303">
        <v>11</v>
      </c>
      <c r="P2" s="303">
        <v>12</v>
      </c>
      <c r="Q2" s="303">
        <v>13</v>
      </c>
      <c r="R2" s="303">
        <v>14</v>
      </c>
      <c r="S2" s="303">
        <v>15</v>
      </c>
      <c r="T2" s="303">
        <v>16</v>
      </c>
      <c r="U2" s="303">
        <v>17</v>
      </c>
      <c r="V2" s="303">
        <v>18</v>
      </c>
      <c r="W2" s="303">
        <v>19</v>
      </c>
      <c r="X2" s="303">
        <v>20</v>
      </c>
      <c r="Y2" s="303">
        <v>21</v>
      </c>
      <c r="Z2" s="303">
        <v>22</v>
      </c>
      <c r="AA2" s="303">
        <v>23</v>
      </c>
      <c r="AB2" s="303">
        <v>24</v>
      </c>
      <c r="AC2" s="303">
        <v>25</v>
      </c>
      <c r="AD2" s="303">
        <v>26</v>
      </c>
      <c r="AE2" s="303">
        <v>27</v>
      </c>
      <c r="AF2" s="303">
        <v>28</v>
      </c>
      <c r="AG2" s="303">
        <v>29</v>
      </c>
      <c r="AH2" s="303">
        <v>30</v>
      </c>
      <c r="AI2" s="303">
        <v>31</v>
      </c>
      <c r="AJ2" s="303">
        <v>32</v>
      </c>
      <c r="AK2" s="303">
        <v>33</v>
      </c>
      <c r="AL2" s="303">
        <v>34</v>
      </c>
    </row>
    <row r="3" spans="4:38" ht="15.6" x14ac:dyDescent="0.3">
      <c r="D3" s="10"/>
      <c r="E3" s="303">
        <v>2</v>
      </c>
      <c r="F3" s="303"/>
      <c r="G3" s="303"/>
      <c r="H3" s="303"/>
      <c r="I3" s="303"/>
      <c r="J3" s="303"/>
      <c r="K3" s="303"/>
    </row>
    <row r="4" spans="4:38" ht="15.6" x14ac:dyDescent="0.3">
      <c r="E4" s="303">
        <v>3</v>
      </c>
      <c r="F4" s="303"/>
      <c r="G4" s="303"/>
      <c r="H4" s="303"/>
      <c r="I4" s="303"/>
      <c r="J4" s="303"/>
      <c r="K4" s="303"/>
    </row>
    <row r="5" spans="4:38" ht="15.6" x14ac:dyDescent="0.3">
      <c r="E5" s="303">
        <v>4</v>
      </c>
      <c r="F5" s="303"/>
      <c r="G5" s="303" t="s">
        <v>50</v>
      </c>
      <c r="H5" s="303" t="s">
        <v>504</v>
      </c>
      <c r="I5" s="303" t="s">
        <v>51</v>
      </c>
      <c r="J5" s="303" t="s">
        <v>50</v>
      </c>
      <c r="K5" s="303" t="s">
        <v>504</v>
      </c>
      <c r="L5" s="303" t="s">
        <v>51</v>
      </c>
      <c r="M5" s="303" t="s">
        <v>50</v>
      </c>
      <c r="N5" s="303" t="s">
        <v>504</v>
      </c>
      <c r="O5" s="303" t="s">
        <v>51</v>
      </c>
      <c r="P5" s="303" t="s">
        <v>50</v>
      </c>
      <c r="Q5" s="303" t="s">
        <v>504</v>
      </c>
      <c r="R5" s="303" t="s">
        <v>51</v>
      </c>
      <c r="S5" s="303" t="s">
        <v>50</v>
      </c>
      <c r="T5" s="303" t="s">
        <v>504</v>
      </c>
      <c r="U5" s="303" t="s">
        <v>51</v>
      </c>
      <c r="V5" s="303" t="s">
        <v>50</v>
      </c>
      <c r="W5" s="303" t="s">
        <v>504</v>
      </c>
      <c r="X5" s="303" t="s">
        <v>51</v>
      </c>
      <c r="Y5" s="303" t="s">
        <v>50</v>
      </c>
      <c r="Z5" s="303" t="s">
        <v>504</v>
      </c>
      <c r="AA5" s="303" t="s">
        <v>51</v>
      </c>
      <c r="AB5" s="303" t="s">
        <v>50</v>
      </c>
      <c r="AC5" s="303" t="s">
        <v>504</v>
      </c>
      <c r="AD5" s="303" t="s">
        <v>51</v>
      </c>
      <c r="AE5" s="303" t="s">
        <v>50</v>
      </c>
      <c r="AF5" s="303" t="s">
        <v>504</v>
      </c>
      <c r="AG5" s="303" t="s">
        <v>51</v>
      </c>
      <c r="AH5" s="303" t="s">
        <v>50</v>
      </c>
      <c r="AI5" s="303" t="s">
        <v>504</v>
      </c>
      <c r="AJ5" s="303" t="s">
        <v>51</v>
      </c>
    </row>
    <row r="6" spans="4:38" ht="15.6" x14ac:dyDescent="0.3">
      <c r="E6" s="303">
        <v>5</v>
      </c>
      <c r="F6" s="303"/>
      <c r="G6" s="303" t="s">
        <v>50</v>
      </c>
      <c r="H6" s="303"/>
      <c r="I6" s="303"/>
      <c r="J6" s="303"/>
      <c r="K6" s="303"/>
    </row>
    <row r="7" spans="4:38" ht="15.6" x14ac:dyDescent="0.3">
      <c r="E7" s="303">
        <v>6</v>
      </c>
      <c r="F7" s="303"/>
      <c r="G7" s="303" t="s">
        <v>50</v>
      </c>
      <c r="H7" s="303"/>
      <c r="I7" s="303"/>
      <c r="J7" s="303">
        <v>12</v>
      </c>
      <c r="K7" s="303"/>
    </row>
    <row r="8" spans="4:38" ht="15.6" x14ac:dyDescent="0.3">
      <c r="E8" s="303">
        <v>7</v>
      </c>
      <c r="F8" s="303"/>
      <c r="G8" s="303" t="s">
        <v>50</v>
      </c>
      <c r="H8" s="303"/>
      <c r="I8" s="303"/>
      <c r="J8" s="303"/>
      <c r="K8" s="303"/>
    </row>
    <row r="9" spans="4:38" ht="15.6" x14ac:dyDescent="0.3">
      <c r="E9" s="303">
        <v>8</v>
      </c>
      <c r="G9" s="303" t="s">
        <v>50</v>
      </c>
    </row>
    <row r="10" spans="4:38" ht="15.6" x14ac:dyDescent="0.3">
      <c r="E10" s="303">
        <v>9</v>
      </c>
      <c r="G10" s="303" t="s">
        <v>50</v>
      </c>
    </row>
    <row r="11" spans="4:38" ht="15.6" x14ac:dyDescent="0.3">
      <c r="E11" s="303">
        <v>10</v>
      </c>
      <c r="G11" s="303" t="s">
        <v>50</v>
      </c>
    </row>
    <row r="12" spans="4:38" ht="15.6" x14ac:dyDescent="0.3">
      <c r="E12" s="303">
        <v>11</v>
      </c>
      <c r="G12" s="303" t="s">
        <v>50</v>
      </c>
    </row>
    <row r="13" spans="4:38" ht="15.6" x14ac:dyDescent="0.3">
      <c r="E13" s="303">
        <v>12</v>
      </c>
      <c r="G13" s="303" t="s">
        <v>50</v>
      </c>
    </row>
    <row r="14" spans="4:38" ht="15.6" x14ac:dyDescent="0.3">
      <c r="E14" s="303">
        <v>13</v>
      </c>
      <c r="G14" s="303" t="s">
        <v>50</v>
      </c>
    </row>
    <row r="15" spans="4:38" ht="15.6" x14ac:dyDescent="0.3">
      <c r="E15" s="303">
        <v>14</v>
      </c>
      <c r="G15" s="303" t="s">
        <v>50</v>
      </c>
    </row>
    <row r="16" spans="4:38" ht="15.6" x14ac:dyDescent="0.3">
      <c r="E16" s="303">
        <v>15</v>
      </c>
      <c r="G16" s="303" t="s">
        <v>50</v>
      </c>
    </row>
    <row r="17" spans="2:32" ht="15.6" x14ac:dyDescent="0.3">
      <c r="E17" s="303">
        <v>16</v>
      </c>
    </row>
    <row r="18" spans="2:32" ht="15.6" x14ac:dyDescent="0.3">
      <c r="E18" s="303">
        <v>17</v>
      </c>
    </row>
    <row r="19" spans="2:32" ht="15.6" x14ac:dyDescent="0.3">
      <c r="E19" s="303">
        <v>18</v>
      </c>
    </row>
    <row r="20" spans="2:32" ht="15.6" x14ac:dyDescent="0.3">
      <c r="E20" s="303">
        <v>19</v>
      </c>
    </row>
    <row r="21" spans="2:32" ht="15.6" x14ac:dyDescent="0.3">
      <c r="E21" s="303">
        <v>20</v>
      </c>
    </row>
    <row r="22" spans="2:32" ht="15.6" x14ac:dyDescent="0.3">
      <c r="B22" s="304" t="s">
        <v>491</v>
      </c>
      <c r="C22" s="304" t="s">
        <v>52</v>
      </c>
      <c r="D22" s="304" t="s">
        <v>53</v>
      </c>
      <c r="E22" s="303"/>
      <c r="L22" s="8">
        <v>5</v>
      </c>
      <c r="M22" s="8">
        <v>5</v>
      </c>
      <c r="N22" s="8">
        <v>5</v>
      </c>
      <c r="O22" s="8">
        <v>5</v>
      </c>
      <c r="P22" s="8">
        <v>5</v>
      </c>
      <c r="Q22" s="8">
        <v>5</v>
      </c>
      <c r="R22" s="8">
        <v>5</v>
      </c>
      <c r="S22" s="8">
        <v>5</v>
      </c>
      <c r="T22" s="8">
        <v>5</v>
      </c>
      <c r="U22" s="8">
        <v>5</v>
      </c>
      <c r="V22" s="8">
        <v>5</v>
      </c>
      <c r="W22" s="8">
        <v>5</v>
      </c>
      <c r="X22" s="8">
        <v>5</v>
      </c>
      <c r="Y22" s="8">
        <v>5</v>
      </c>
      <c r="Z22" s="8">
        <v>5</v>
      </c>
      <c r="AA22" s="8">
        <v>5</v>
      </c>
      <c r="AB22" s="8">
        <v>5</v>
      </c>
      <c r="AC22" s="8">
        <v>5</v>
      </c>
      <c r="AD22" s="8">
        <v>5</v>
      </c>
      <c r="AE22" s="8">
        <v>5</v>
      </c>
      <c r="AF22" s="8">
        <v>5</v>
      </c>
    </row>
    <row r="23" spans="2:32" ht="15.6" x14ac:dyDescent="0.3">
      <c r="B23" s="303" t="s">
        <v>492</v>
      </c>
      <c r="C23" s="303" t="s">
        <v>505</v>
      </c>
      <c r="D23" s="303" t="s">
        <v>54</v>
      </c>
      <c r="E23" s="303"/>
      <c r="L23" s="8">
        <v>5</v>
      </c>
    </row>
    <row r="24" spans="2:32" ht="15.6" x14ac:dyDescent="0.3">
      <c r="B24" s="303" t="s">
        <v>493</v>
      </c>
      <c r="C24" s="303" t="s">
        <v>506</v>
      </c>
      <c r="D24" s="303" t="s">
        <v>56</v>
      </c>
      <c r="E24" s="303"/>
      <c r="L24" s="8">
        <v>5</v>
      </c>
    </row>
    <row r="25" spans="2:32" ht="15.6" x14ac:dyDescent="0.3">
      <c r="B25" s="303" t="s">
        <v>494</v>
      </c>
      <c r="C25" s="303" t="s">
        <v>507</v>
      </c>
      <c r="D25" s="303" t="s">
        <v>58</v>
      </c>
      <c r="E25" s="303"/>
      <c r="L25" s="8">
        <v>5</v>
      </c>
    </row>
    <row r="26" spans="2:32" ht="15.6" x14ac:dyDescent="0.3">
      <c r="B26" s="303" t="s">
        <v>495</v>
      </c>
      <c r="C26" s="303" t="s">
        <v>60</v>
      </c>
      <c r="D26" s="303" t="s">
        <v>61</v>
      </c>
      <c r="E26" s="303"/>
      <c r="L26" s="8">
        <v>5</v>
      </c>
    </row>
    <row r="27" spans="2:32" ht="15.6" x14ac:dyDescent="0.3">
      <c r="B27" s="303" t="s">
        <v>496</v>
      </c>
      <c r="C27" s="303" t="s">
        <v>63</v>
      </c>
      <c r="D27" s="303" t="s">
        <v>64</v>
      </c>
      <c r="E27" s="303"/>
      <c r="L27" s="8">
        <v>5</v>
      </c>
    </row>
    <row r="28" spans="2:32" s="306" customFormat="1" ht="15.6" x14ac:dyDescent="0.3">
      <c r="B28" s="303" t="s">
        <v>497</v>
      </c>
      <c r="C28" s="303" t="s">
        <v>66</v>
      </c>
      <c r="D28" s="303" t="s">
        <v>67</v>
      </c>
      <c r="E28" s="307">
        <v>123</v>
      </c>
      <c r="F28" s="305">
        <v>1</v>
      </c>
      <c r="G28" s="305">
        <v>2</v>
      </c>
      <c r="H28" s="305">
        <v>3</v>
      </c>
      <c r="I28" s="305"/>
      <c r="J28" s="305"/>
      <c r="K28" s="305"/>
      <c r="L28" s="8">
        <v>5</v>
      </c>
      <c r="M28" s="305"/>
      <c r="N28" s="305"/>
      <c r="O28" s="305"/>
      <c r="P28" s="305"/>
    </row>
    <row r="29" spans="2:32" ht="15.6" x14ac:dyDescent="0.3">
      <c r="B29" s="303" t="s">
        <v>498</v>
      </c>
      <c r="C29" s="303" t="s">
        <v>69</v>
      </c>
      <c r="D29" s="303" t="s">
        <v>70</v>
      </c>
      <c r="E29" s="307">
        <v>234</v>
      </c>
      <c r="F29" s="303">
        <v>2</v>
      </c>
      <c r="G29" s="303">
        <v>3</v>
      </c>
      <c r="H29" s="303">
        <v>4</v>
      </c>
      <c r="I29" s="303"/>
      <c r="J29" s="303" t="s">
        <v>55</v>
      </c>
      <c r="K29" s="303"/>
      <c r="L29" s="8">
        <v>5</v>
      </c>
      <c r="M29" s="303"/>
      <c r="N29" s="303"/>
      <c r="O29" s="303"/>
      <c r="P29" s="303"/>
    </row>
    <row r="30" spans="2:32" ht="15.6" x14ac:dyDescent="0.3">
      <c r="B30" s="303" t="s">
        <v>499</v>
      </c>
      <c r="C30" s="303" t="s">
        <v>72</v>
      </c>
      <c r="D30" s="303" t="s">
        <v>73</v>
      </c>
      <c r="E30" s="307">
        <v>345</v>
      </c>
      <c r="F30" s="303">
        <v>3</v>
      </c>
      <c r="G30" s="303">
        <v>4</v>
      </c>
      <c r="H30" s="303">
        <v>5</v>
      </c>
      <c r="I30" s="303"/>
      <c r="J30" s="303" t="s">
        <v>57</v>
      </c>
      <c r="K30" s="303"/>
      <c r="L30" s="8">
        <v>5</v>
      </c>
      <c r="M30" s="303"/>
      <c r="N30" s="303"/>
      <c r="O30" s="303"/>
      <c r="P30" s="303"/>
    </row>
    <row r="31" spans="2:32" ht="15.6" x14ac:dyDescent="0.3">
      <c r="B31" s="303" t="s">
        <v>500</v>
      </c>
      <c r="C31" s="303" t="s">
        <v>74</v>
      </c>
      <c r="D31" s="303" t="s">
        <v>75</v>
      </c>
      <c r="E31" s="307">
        <v>456</v>
      </c>
      <c r="F31" s="303">
        <v>4</v>
      </c>
      <c r="G31" s="303">
        <v>5</v>
      </c>
      <c r="H31" s="303">
        <v>6</v>
      </c>
      <c r="I31" s="303"/>
      <c r="J31" s="303" t="s">
        <v>59</v>
      </c>
      <c r="K31" s="303"/>
      <c r="L31" s="8">
        <v>5</v>
      </c>
      <c r="M31" s="303"/>
      <c r="N31" s="303"/>
      <c r="O31" s="303"/>
      <c r="P31" s="303"/>
    </row>
    <row r="32" spans="2:32" ht="15.6" x14ac:dyDescent="0.3">
      <c r="B32" s="303" t="s">
        <v>501</v>
      </c>
      <c r="C32" s="303" t="s">
        <v>76</v>
      </c>
      <c r="D32" s="303" t="s">
        <v>77</v>
      </c>
      <c r="E32" s="307">
        <v>567</v>
      </c>
      <c r="F32" s="303">
        <v>5</v>
      </c>
      <c r="G32" s="303">
        <v>6</v>
      </c>
      <c r="H32" s="303">
        <v>7</v>
      </c>
      <c r="I32" s="303"/>
      <c r="J32" s="303" t="s">
        <v>62</v>
      </c>
      <c r="K32" s="303"/>
      <c r="L32" s="8">
        <v>5</v>
      </c>
      <c r="M32" s="303"/>
      <c r="N32" s="303"/>
      <c r="O32" s="303"/>
      <c r="P32" s="303"/>
    </row>
    <row r="33" spans="1:16" ht="15.6" x14ac:dyDescent="0.3">
      <c r="B33" s="303" t="s">
        <v>502</v>
      </c>
      <c r="C33" s="303" t="s">
        <v>78</v>
      </c>
      <c r="D33" s="303" t="s">
        <v>79</v>
      </c>
      <c r="E33" s="307">
        <v>678</v>
      </c>
      <c r="F33" s="303">
        <v>6</v>
      </c>
      <c r="G33" s="303">
        <v>7</v>
      </c>
      <c r="H33" s="303">
        <v>8</v>
      </c>
      <c r="I33" s="303"/>
      <c r="J33" s="303" t="s">
        <v>65</v>
      </c>
      <c r="K33" s="303"/>
      <c r="L33" s="8">
        <v>5</v>
      </c>
      <c r="M33" s="303"/>
      <c r="N33" s="303"/>
      <c r="O33" s="303"/>
      <c r="P33" s="303"/>
    </row>
    <row r="34" spans="1:16" ht="15.6" x14ac:dyDescent="0.3">
      <c r="B34" s="303" t="s">
        <v>503</v>
      </c>
      <c r="C34" s="303" t="s">
        <v>80</v>
      </c>
      <c r="D34" s="303" t="s">
        <v>81</v>
      </c>
      <c r="E34" s="307">
        <v>789</v>
      </c>
      <c r="F34" s="303">
        <v>7</v>
      </c>
      <c r="G34" s="303">
        <v>8</v>
      </c>
      <c r="H34" s="303">
        <v>9</v>
      </c>
      <c r="I34" s="303"/>
      <c r="J34" s="303" t="s">
        <v>68</v>
      </c>
      <c r="K34" s="303"/>
      <c r="L34" s="8">
        <v>5</v>
      </c>
      <c r="M34" s="303"/>
      <c r="N34" s="303"/>
      <c r="O34" s="303"/>
      <c r="P34" s="303"/>
    </row>
    <row r="35" spans="1:16" ht="15.6" x14ac:dyDescent="0.3">
      <c r="B35" s="303" t="s">
        <v>496</v>
      </c>
      <c r="C35" s="303" t="s">
        <v>63</v>
      </c>
      <c r="D35" s="303" t="s">
        <v>64</v>
      </c>
      <c r="E35" s="307">
        <v>890</v>
      </c>
      <c r="F35" s="303">
        <v>8</v>
      </c>
      <c r="G35" s="303">
        <v>9</v>
      </c>
      <c r="H35" s="303">
        <v>0</v>
      </c>
      <c r="I35" s="303"/>
      <c r="J35" s="303" t="s">
        <v>71</v>
      </c>
      <c r="K35" s="303"/>
      <c r="L35" s="8">
        <v>5</v>
      </c>
      <c r="M35" s="303"/>
      <c r="N35" s="303"/>
      <c r="O35" s="303"/>
      <c r="P35" s="303"/>
    </row>
    <row r="36" spans="1:16" ht="15.6" x14ac:dyDescent="0.3">
      <c r="B36" s="303" t="s">
        <v>497</v>
      </c>
      <c r="C36" s="303" t="s">
        <v>66</v>
      </c>
      <c r="D36" s="303" t="s">
        <v>67</v>
      </c>
      <c r="E36" s="307"/>
      <c r="F36" s="303"/>
      <c r="G36" s="303"/>
      <c r="H36" s="303"/>
      <c r="I36" s="303"/>
      <c r="J36" s="303" t="s">
        <v>55</v>
      </c>
      <c r="K36" s="303"/>
      <c r="L36" s="8">
        <v>5</v>
      </c>
      <c r="M36" s="303"/>
      <c r="N36" s="303"/>
      <c r="O36" s="303"/>
      <c r="P36" s="303"/>
    </row>
    <row r="37" spans="1:16" ht="15.6" x14ac:dyDescent="0.3">
      <c r="B37" s="303" t="s">
        <v>498</v>
      </c>
      <c r="C37" s="303" t="s">
        <v>69</v>
      </c>
      <c r="D37" s="303" t="s">
        <v>70</v>
      </c>
      <c r="E37" s="303"/>
      <c r="F37" s="303"/>
      <c r="G37" s="303"/>
      <c r="H37" s="303"/>
      <c r="I37" s="303"/>
      <c r="J37" s="303" t="s">
        <v>57</v>
      </c>
      <c r="K37" s="303"/>
      <c r="L37" s="8">
        <v>5</v>
      </c>
      <c r="M37" s="303"/>
      <c r="N37" s="303"/>
      <c r="O37" s="303"/>
      <c r="P37" s="303"/>
    </row>
    <row r="38" spans="1:16" ht="15.6" x14ac:dyDescent="0.3">
      <c r="B38" s="303" t="s">
        <v>499</v>
      </c>
      <c r="C38" s="303" t="s">
        <v>72</v>
      </c>
      <c r="D38" s="303" t="s">
        <v>73</v>
      </c>
      <c r="E38" s="303"/>
      <c r="F38" s="303"/>
      <c r="G38" s="303"/>
      <c r="H38" s="303"/>
      <c r="I38" s="303"/>
      <c r="J38" s="303" t="s">
        <v>59</v>
      </c>
      <c r="K38" s="303"/>
      <c r="L38" s="8">
        <v>5</v>
      </c>
      <c r="M38" s="303"/>
      <c r="N38" s="303"/>
      <c r="O38" s="303"/>
      <c r="P38" s="303"/>
    </row>
    <row r="39" spans="1:16" ht="15.6" x14ac:dyDescent="0.3">
      <c r="B39" s="303" t="s">
        <v>500</v>
      </c>
      <c r="C39" s="303" t="s">
        <v>74</v>
      </c>
      <c r="D39" s="303" t="s">
        <v>75</v>
      </c>
      <c r="E39" s="303"/>
      <c r="F39" s="303"/>
      <c r="G39" s="303"/>
      <c r="H39" s="303"/>
      <c r="I39" s="303"/>
      <c r="J39" s="303" t="s">
        <v>62</v>
      </c>
      <c r="K39" s="303"/>
      <c r="L39" s="8">
        <v>5</v>
      </c>
      <c r="M39" s="303"/>
      <c r="N39" s="303"/>
      <c r="O39" s="303"/>
      <c r="P39" s="303"/>
    </row>
    <row r="40" spans="1:16" ht="15.6" x14ac:dyDescent="0.3">
      <c r="D40" s="303"/>
      <c r="E40" s="303" t="s">
        <v>508</v>
      </c>
      <c r="F40" s="303"/>
      <c r="G40" s="303"/>
      <c r="H40" s="303"/>
      <c r="I40" s="303"/>
      <c r="J40" s="303"/>
      <c r="K40" s="303"/>
      <c r="L40" s="8">
        <v>5</v>
      </c>
      <c r="M40" s="303"/>
      <c r="N40" s="303"/>
      <c r="O40" s="303"/>
      <c r="P40" s="303"/>
    </row>
    <row r="41" spans="1:16" ht="15.6" x14ac:dyDescent="0.3">
      <c r="D41" s="303"/>
      <c r="E41" s="303" t="s">
        <v>508</v>
      </c>
      <c r="F41" s="303"/>
      <c r="G41" s="303"/>
      <c r="H41" s="303"/>
      <c r="I41" s="303"/>
      <c r="J41" s="303"/>
      <c r="K41" s="303"/>
      <c r="L41" s="8">
        <v>5</v>
      </c>
      <c r="M41" s="303"/>
      <c r="N41" s="303"/>
      <c r="O41" s="303"/>
      <c r="P41" s="303"/>
    </row>
    <row r="42" spans="1:16" ht="15.6" x14ac:dyDescent="0.3">
      <c r="D42" s="303"/>
      <c r="E42" s="303" t="s">
        <v>508</v>
      </c>
      <c r="F42" s="303"/>
      <c r="G42" s="303"/>
      <c r="H42" s="303"/>
      <c r="I42" s="303"/>
      <c r="J42" s="303"/>
      <c r="K42" s="303"/>
      <c r="L42" s="8">
        <v>5</v>
      </c>
      <c r="M42" s="303"/>
      <c r="N42" s="303"/>
      <c r="O42" s="303"/>
      <c r="P42" s="303"/>
    </row>
    <row r="43" spans="1:16" ht="15.6" x14ac:dyDescent="0.3">
      <c r="A43" s="303" t="s">
        <v>508</v>
      </c>
      <c r="B43" s="303" t="s">
        <v>508</v>
      </c>
      <c r="C43" s="303" t="s">
        <v>508</v>
      </c>
      <c r="D43" s="303" t="s">
        <v>508</v>
      </c>
      <c r="E43" s="303" t="s">
        <v>508</v>
      </c>
      <c r="F43" s="303"/>
      <c r="G43" s="303"/>
      <c r="H43" s="303"/>
      <c r="I43" s="303"/>
      <c r="J43" s="303"/>
      <c r="K43" s="303"/>
      <c r="L43" s="8">
        <v>5</v>
      </c>
      <c r="M43" s="303"/>
      <c r="N43" s="303"/>
      <c r="O43" s="303"/>
      <c r="P43" s="303"/>
    </row>
    <row r="44" spans="1:16" ht="15.6" x14ac:dyDescent="0.3">
      <c r="D44" s="303"/>
      <c r="E44" s="303"/>
      <c r="F44" s="303"/>
      <c r="G44" s="303"/>
      <c r="H44" s="303"/>
      <c r="I44" s="303"/>
      <c r="J44" s="303"/>
      <c r="K44" s="303"/>
      <c r="L44" s="8">
        <v>5</v>
      </c>
      <c r="M44" s="303"/>
      <c r="N44" s="303"/>
      <c r="O44" s="303"/>
      <c r="P44" s="303"/>
    </row>
    <row r="45" spans="1:16" ht="15.6" x14ac:dyDescent="0.3">
      <c r="D45" s="303"/>
      <c r="E45" s="303"/>
      <c r="F45" s="303"/>
      <c r="G45" s="303"/>
      <c r="H45" s="303"/>
      <c r="I45" s="303"/>
      <c r="J45" s="303"/>
      <c r="K45" s="303"/>
      <c r="L45" s="8">
        <v>5</v>
      </c>
      <c r="M45" s="303"/>
      <c r="N45" s="303"/>
      <c r="O45" s="303"/>
      <c r="P45" s="303"/>
    </row>
    <row r="46" spans="1:16" ht="15.6" x14ac:dyDescent="0.3">
      <c r="A46" s="303">
        <v>10</v>
      </c>
      <c r="B46" s="303"/>
      <c r="C46" s="303"/>
      <c r="D46" s="303"/>
      <c r="E46" s="303"/>
      <c r="F46" s="303"/>
      <c r="G46" s="303"/>
      <c r="H46" s="303"/>
      <c r="I46" s="303"/>
      <c r="J46" s="303"/>
      <c r="K46" s="303"/>
      <c r="L46" s="8">
        <v>5</v>
      </c>
      <c r="M46" s="303"/>
      <c r="N46" s="303"/>
      <c r="O46" s="303"/>
      <c r="P46" s="303"/>
    </row>
    <row r="47" spans="1:16" ht="15.6" x14ac:dyDescent="0.3">
      <c r="A47" s="303">
        <v>20</v>
      </c>
      <c r="B47" s="303"/>
      <c r="C47" s="303"/>
      <c r="D47" s="303"/>
      <c r="E47" s="303"/>
      <c r="F47" s="303"/>
      <c r="G47" s="303"/>
      <c r="H47" s="303"/>
      <c r="I47" s="303"/>
      <c r="J47" s="303"/>
      <c r="K47" s="303"/>
      <c r="L47" s="8">
        <v>5</v>
      </c>
      <c r="M47" s="303"/>
      <c r="N47" s="303"/>
      <c r="O47" s="303"/>
      <c r="P47" s="303"/>
    </row>
    <row r="48" spans="1:16" ht="15.6" x14ac:dyDescent="0.3">
      <c r="A48" s="303">
        <v>30</v>
      </c>
      <c r="B48" s="303"/>
      <c r="C48" s="303"/>
      <c r="D48" s="303"/>
      <c r="E48" s="303"/>
      <c r="F48" s="303"/>
      <c r="G48" s="303"/>
      <c r="H48" s="303"/>
      <c r="I48" s="303"/>
      <c r="J48" s="303"/>
      <c r="K48" s="303"/>
      <c r="L48" s="8">
        <v>5</v>
      </c>
      <c r="M48" s="303"/>
      <c r="N48" s="303"/>
      <c r="O48" s="303"/>
      <c r="P48" s="303"/>
    </row>
    <row r="49" spans="1:12" ht="15.6" x14ac:dyDescent="0.3">
      <c r="A49" s="303">
        <v>40</v>
      </c>
      <c r="L49" s="8">
        <v>5</v>
      </c>
    </row>
    <row r="50" spans="1:12" ht="15.6" x14ac:dyDescent="0.3">
      <c r="A50" s="303">
        <v>50</v>
      </c>
      <c r="D50" s="29" t="s">
        <v>35</v>
      </c>
      <c r="E50" s="29" t="s">
        <v>36</v>
      </c>
      <c r="F50" s="29" t="s">
        <v>37</v>
      </c>
      <c r="L50" s="8">
        <v>5</v>
      </c>
    </row>
    <row r="51" spans="1:12" ht="15.6" x14ac:dyDescent="0.3">
      <c r="A51" s="303">
        <v>60</v>
      </c>
      <c r="D51" s="30" t="s">
        <v>0</v>
      </c>
      <c r="E51" s="30" t="s">
        <v>1</v>
      </c>
      <c r="F51" s="28">
        <v>1000</v>
      </c>
      <c r="L51" s="8">
        <v>5</v>
      </c>
    </row>
    <row r="52" spans="1:12" ht="15.6" x14ac:dyDescent="0.3">
      <c r="A52" s="303">
        <v>70</v>
      </c>
      <c r="D52" s="30" t="s">
        <v>2</v>
      </c>
      <c r="E52" s="30" t="s">
        <v>38</v>
      </c>
      <c r="F52" s="28">
        <v>5000</v>
      </c>
      <c r="L52" s="8">
        <v>5</v>
      </c>
    </row>
    <row r="53" spans="1:12" ht="15.6" x14ac:dyDescent="0.3">
      <c r="A53" s="303">
        <v>80</v>
      </c>
      <c r="D53" s="30" t="s">
        <v>4</v>
      </c>
      <c r="E53" s="30" t="s">
        <v>5</v>
      </c>
      <c r="F53" s="28">
        <v>1000</v>
      </c>
      <c r="L53" s="8">
        <v>5</v>
      </c>
    </row>
    <row r="54" spans="1:12" ht="15.6" x14ac:dyDescent="0.3">
      <c r="A54" s="303">
        <v>90</v>
      </c>
      <c r="D54" s="30" t="s">
        <v>6</v>
      </c>
      <c r="E54" s="30" t="s">
        <v>7</v>
      </c>
      <c r="F54" s="28">
        <v>3500</v>
      </c>
      <c r="L54" s="8">
        <v>5</v>
      </c>
    </row>
    <row r="55" spans="1:12" ht="15.6" x14ac:dyDescent="0.3">
      <c r="A55" s="303">
        <v>100</v>
      </c>
      <c r="D55" s="30" t="s">
        <v>8</v>
      </c>
      <c r="E55" s="30" t="s">
        <v>9</v>
      </c>
      <c r="F55" s="28">
        <v>3000</v>
      </c>
      <c r="L55" s="8">
        <v>5</v>
      </c>
    </row>
    <row r="56" spans="1:12" x14ac:dyDescent="0.3">
      <c r="D56" s="30" t="s">
        <v>10</v>
      </c>
      <c r="E56" s="30" t="s">
        <v>41</v>
      </c>
      <c r="F56" s="28">
        <v>4000</v>
      </c>
    </row>
    <row r="57" spans="1:12" x14ac:dyDescent="0.3">
      <c r="D57" s="30" t="s">
        <v>12</v>
      </c>
      <c r="E57" s="30" t="s">
        <v>13</v>
      </c>
      <c r="F57" s="28">
        <v>4000</v>
      </c>
    </row>
    <row r="58" spans="1:12" x14ac:dyDescent="0.3">
      <c r="D58" s="30" t="s">
        <v>43</v>
      </c>
      <c r="E58" s="30"/>
      <c r="F58" s="31">
        <f>SUM(F51:F57)</f>
        <v>21500</v>
      </c>
    </row>
  </sheetData>
  <phoneticPr fontId="68" type="noConversion"/>
  <conditionalFormatting sqref="D3">
    <cfRule type="dataBar" priority="1">
      <dataBar>
        <cfvo type="min"/>
        <cfvo type="max"/>
        <color rgb="FF008AEF"/>
      </dataBar>
      <extLst>
        <ext xmlns:x14="http://schemas.microsoft.com/office/spreadsheetml/2009/9/main" uri="{B025F937-C7B1-47D3-B67F-A62EFF666E3E}">
          <x14:id>{535F02AE-D4ED-44C2-A068-1A489CBCB4E9}</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535F02AE-D4ED-44C2-A068-1A489CBCB4E9}">
            <x14:dataBar minLength="0" maxLength="100" border="1" negativeBarBorderColorSameAsPositive="0">
              <x14:cfvo type="autoMin"/>
              <x14:cfvo type="autoMax"/>
              <x14:borderColor rgb="FF008AEF"/>
              <x14:negativeFillColor rgb="FFFF0000"/>
              <x14:negativeBorderColor rgb="FFFF0000"/>
              <x14:axisColor rgb="FF000000"/>
            </x14:dataBar>
          </x14:cfRule>
          <xm:sqref>D3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C2276-6F4F-48B2-90D7-1CA00F12F937}">
  <dimension ref="C2:J32"/>
  <sheetViews>
    <sheetView topLeftCell="B7" zoomScale="90" zoomScaleNormal="90" workbookViewId="0">
      <selection activeCell="C19" sqref="C19"/>
    </sheetView>
  </sheetViews>
  <sheetFormatPr defaultColWidth="8.77734375" defaultRowHeight="13.8" x14ac:dyDescent="0.25"/>
  <cols>
    <col min="1" max="2" width="8.77734375" style="34"/>
    <col min="3" max="3" width="16.6640625" style="34" customWidth="1"/>
    <col min="4" max="4" width="17" style="34" bestFit="1" customWidth="1"/>
    <col min="5" max="5" width="22.5546875" style="34" bestFit="1" customWidth="1"/>
    <col min="6" max="6" width="21.6640625" style="34" bestFit="1" customWidth="1"/>
    <col min="7" max="7" width="14.33203125" style="34" customWidth="1"/>
    <col min="8" max="8" width="14.6640625" style="34" customWidth="1"/>
    <col min="9" max="9" width="19.109375" style="34" bestFit="1" customWidth="1"/>
    <col min="10" max="10" width="14" style="34" customWidth="1"/>
    <col min="11" max="16384" width="8.77734375" style="34"/>
  </cols>
  <sheetData>
    <row r="2" spans="3:10" x14ac:dyDescent="0.25">
      <c r="C2" s="32" t="s">
        <v>16</v>
      </c>
      <c r="D2" s="32" t="s">
        <v>17</v>
      </c>
      <c r="E2" s="33"/>
      <c r="F2" s="32" t="s">
        <v>16</v>
      </c>
      <c r="G2" s="32" t="s">
        <v>17</v>
      </c>
    </row>
    <row r="3" spans="3:10" x14ac:dyDescent="0.25">
      <c r="C3" s="35" t="s">
        <v>26</v>
      </c>
      <c r="D3" s="35">
        <v>4000</v>
      </c>
      <c r="E3" s="36"/>
      <c r="F3" s="35" t="s">
        <v>32</v>
      </c>
      <c r="G3" s="35">
        <v>6000</v>
      </c>
      <c r="J3" s="34">
        <v>1</v>
      </c>
    </row>
    <row r="4" spans="3:10" x14ac:dyDescent="0.25">
      <c r="C4" s="35" t="s">
        <v>34</v>
      </c>
      <c r="D4" s="35">
        <v>9000</v>
      </c>
      <c r="E4" s="36"/>
      <c r="F4" s="35" t="s">
        <v>31</v>
      </c>
      <c r="G4" s="35">
        <v>35700</v>
      </c>
      <c r="J4" s="34">
        <v>2</v>
      </c>
    </row>
    <row r="5" spans="3:10" x14ac:dyDescent="0.25">
      <c r="C5" s="35" t="s">
        <v>27</v>
      </c>
      <c r="D5" s="35">
        <v>8000</v>
      </c>
      <c r="E5" s="36"/>
      <c r="F5" s="35" t="s">
        <v>25</v>
      </c>
      <c r="G5" s="35">
        <v>32640</v>
      </c>
      <c r="J5" s="34">
        <v>3</v>
      </c>
    </row>
    <row r="6" spans="3:10" x14ac:dyDescent="0.25">
      <c r="C6" s="35" t="s">
        <v>28</v>
      </c>
      <c r="D6" s="35">
        <v>8000</v>
      </c>
      <c r="E6" s="36"/>
      <c r="F6" s="35" t="s">
        <v>29</v>
      </c>
      <c r="G6" s="35">
        <v>48960</v>
      </c>
      <c r="J6" s="34">
        <v>4</v>
      </c>
    </row>
    <row r="7" spans="3:10" x14ac:dyDescent="0.25">
      <c r="C7" s="35" t="s">
        <v>23</v>
      </c>
      <c r="D7" s="35">
        <v>10000</v>
      </c>
      <c r="E7" s="36"/>
      <c r="F7" s="35" t="s">
        <v>22</v>
      </c>
      <c r="G7" s="35">
        <v>42840</v>
      </c>
      <c r="J7" s="34">
        <v>5</v>
      </c>
    </row>
    <row r="8" spans="3:10" x14ac:dyDescent="0.25">
      <c r="C8" s="35" t="s">
        <v>21</v>
      </c>
      <c r="D8" s="35">
        <v>12000</v>
      </c>
      <c r="E8" s="36"/>
      <c r="F8" s="35" t="s">
        <v>22</v>
      </c>
      <c r="G8" s="35">
        <v>35700</v>
      </c>
      <c r="J8" s="37">
        <f>SUM(G3:G8)</f>
        <v>201840</v>
      </c>
    </row>
    <row r="9" spans="3:10" x14ac:dyDescent="0.25">
      <c r="C9" s="38" t="s">
        <v>82</v>
      </c>
      <c r="D9" s="37" t="s">
        <v>510</v>
      </c>
      <c r="E9" s="36"/>
      <c r="F9" s="38" t="s">
        <v>82</v>
      </c>
      <c r="G9" s="37">
        <f>SUM(G3:G8)</f>
        <v>201840</v>
      </c>
    </row>
    <row r="10" spans="3:10" x14ac:dyDescent="0.25">
      <c r="C10" s="38" t="s">
        <v>42</v>
      </c>
      <c r="D10" s="37" t="s">
        <v>511</v>
      </c>
      <c r="E10" s="36"/>
      <c r="F10" s="38" t="s">
        <v>42</v>
      </c>
      <c r="G10" s="37">
        <f>AVERAGE(G3:G8)</f>
        <v>33640</v>
      </c>
    </row>
    <row r="11" spans="3:10" x14ac:dyDescent="0.25">
      <c r="C11" s="38" t="s">
        <v>83</v>
      </c>
      <c r="D11" s="37" t="s">
        <v>512</v>
      </c>
      <c r="E11" s="35"/>
      <c r="F11" s="38" t="s">
        <v>83</v>
      </c>
      <c r="G11" s="37">
        <f>MIN(G3:G8)</f>
        <v>6000</v>
      </c>
      <c r="H11" s="37"/>
      <c r="I11" s="34">
        <f>SUM(G3:G8)</f>
        <v>201840</v>
      </c>
    </row>
    <row r="12" spans="3:10" x14ac:dyDescent="0.25">
      <c r="C12" s="36"/>
      <c r="D12" s="36"/>
      <c r="E12" s="36"/>
      <c r="F12" s="36"/>
      <c r="G12" s="36"/>
    </row>
    <row r="13" spans="3:10" x14ac:dyDescent="0.25">
      <c r="C13" s="35" t="s">
        <v>31</v>
      </c>
      <c r="D13" s="35">
        <v>35700</v>
      </c>
      <c r="E13" s="36"/>
      <c r="F13" s="35" t="s">
        <v>34</v>
      </c>
      <c r="G13" s="35">
        <v>9000</v>
      </c>
      <c r="J13" s="37">
        <f>SUM(G3:G8)</f>
        <v>201840</v>
      </c>
    </row>
    <row r="14" spans="3:10" x14ac:dyDescent="0.25">
      <c r="C14" s="35" t="s">
        <v>25</v>
      </c>
      <c r="D14" s="35">
        <v>32640</v>
      </c>
      <c r="E14" s="36"/>
      <c r="F14" s="35" t="s">
        <v>27</v>
      </c>
      <c r="G14" s="35">
        <v>8000</v>
      </c>
      <c r="J14" s="37">
        <f>AVERAGE(G3:G8)</f>
        <v>33640</v>
      </c>
    </row>
    <row r="15" spans="3:10" x14ac:dyDescent="0.25">
      <c r="C15" s="35" t="s">
        <v>29</v>
      </c>
      <c r="D15" s="35">
        <v>48960</v>
      </c>
      <c r="E15" s="36"/>
      <c r="F15" s="35" t="s">
        <v>28</v>
      </c>
      <c r="G15" s="35">
        <v>8000</v>
      </c>
      <c r="J15" s="37">
        <f>MIN(D3:D8)</f>
        <v>4000</v>
      </c>
    </row>
    <row r="16" spans="3:10" x14ac:dyDescent="0.25">
      <c r="C16" s="35" t="s">
        <v>22</v>
      </c>
      <c r="D16" s="35">
        <v>42840</v>
      </c>
      <c r="E16" s="36"/>
      <c r="F16" s="35" t="s">
        <v>23</v>
      </c>
      <c r="G16" s="35">
        <v>10000</v>
      </c>
    </row>
    <row r="17" spans="3:9" x14ac:dyDescent="0.25">
      <c r="C17" s="35" t="s">
        <v>26</v>
      </c>
      <c r="D17" s="35">
        <v>4000</v>
      </c>
      <c r="E17" s="36"/>
      <c r="F17" s="35" t="s">
        <v>22</v>
      </c>
      <c r="G17" s="35">
        <v>35700</v>
      </c>
      <c r="I17" s="37">
        <f>SUM(D3:D8)</f>
        <v>51000</v>
      </c>
    </row>
    <row r="18" spans="3:9" x14ac:dyDescent="0.25">
      <c r="C18" s="38" t="s">
        <v>82</v>
      </c>
      <c r="D18" s="37">
        <f>SUM(D12:D17)</f>
        <v>164140</v>
      </c>
      <c r="E18" s="36"/>
      <c r="F18" s="38" t="s">
        <v>82</v>
      </c>
      <c r="G18" s="37">
        <f>SUM(G12:G17)</f>
        <v>70700</v>
      </c>
      <c r="I18" s="37">
        <f>AVERAGE(D3:D8)</f>
        <v>8500</v>
      </c>
    </row>
    <row r="19" spans="3:9" x14ac:dyDescent="0.25">
      <c r="C19" s="38" t="s">
        <v>42</v>
      </c>
      <c r="D19" s="37">
        <f>AVERAGE(D12:D17)</f>
        <v>32828</v>
      </c>
      <c r="E19" s="39"/>
      <c r="F19" s="38" t="s">
        <v>42</v>
      </c>
      <c r="G19" s="37">
        <f>AVERAGE(G12:G17)</f>
        <v>14140</v>
      </c>
      <c r="I19" s="37">
        <f>MIN(D3:D8)</f>
        <v>4000</v>
      </c>
    </row>
    <row r="20" spans="3:9" x14ac:dyDescent="0.25">
      <c r="C20" s="38" t="s">
        <v>83</v>
      </c>
      <c r="D20" s="37">
        <f>MIN(D12:D17)</f>
        <v>4000</v>
      </c>
      <c r="F20" s="38" t="s">
        <v>83</v>
      </c>
      <c r="G20" s="37">
        <f>MIN(G12:G17)</f>
        <v>8000</v>
      </c>
    </row>
    <row r="24" spans="3:9" x14ac:dyDescent="0.25">
      <c r="D24" s="40" t="s">
        <v>16</v>
      </c>
      <c r="E24" s="40" t="s">
        <v>84</v>
      </c>
      <c r="F24" s="40" t="s">
        <v>85</v>
      </c>
      <c r="G24" s="40" t="s">
        <v>86</v>
      </c>
      <c r="H24" s="40" t="s">
        <v>87</v>
      </c>
      <c r="I24" s="41"/>
    </row>
    <row r="25" spans="3:9" x14ac:dyDescent="0.25">
      <c r="D25" s="42" t="s">
        <v>32</v>
      </c>
      <c r="E25" s="43">
        <v>9000</v>
      </c>
      <c r="F25" s="43">
        <v>1000</v>
      </c>
      <c r="G25" s="43" t="str">
        <f>IMSUB(E25,F25)</f>
        <v>8000</v>
      </c>
      <c r="H25" s="44">
        <f>G25/F25</f>
        <v>8</v>
      </c>
      <c r="I25" s="45"/>
    </row>
    <row r="26" spans="3:9" x14ac:dyDescent="0.25">
      <c r="D26" s="42" t="s">
        <v>31</v>
      </c>
      <c r="E26" s="43">
        <v>8000</v>
      </c>
      <c r="F26" s="43">
        <v>2000</v>
      </c>
      <c r="G26" s="43" t="str">
        <f>IMSUB(E26,F26)</f>
        <v>6000</v>
      </c>
      <c r="H26" s="44">
        <f>G26/F26</f>
        <v>3</v>
      </c>
      <c r="I26" s="45"/>
    </row>
    <row r="27" spans="3:9" x14ac:dyDescent="0.25">
      <c r="D27" s="42" t="s">
        <v>25</v>
      </c>
      <c r="E27" s="43">
        <v>8000</v>
      </c>
      <c r="F27" s="43">
        <v>4000</v>
      </c>
      <c r="G27" s="43" t="str">
        <f>IMSUB(E27,F27)</f>
        <v>4000</v>
      </c>
      <c r="H27" s="44">
        <f>G27/F27</f>
        <v>1</v>
      </c>
      <c r="I27" s="45"/>
    </row>
    <row r="28" spans="3:9" x14ac:dyDescent="0.25">
      <c r="D28" s="42" t="s">
        <v>29</v>
      </c>
      <c r="E28" s="43">
        <v>10000</v>
      </c>
      <c r="F28" s="43">
        <v>3000</v>
      </c>
      <c r="G28" s="43" t="str">
        <f>IMSUB(E28,F28)</f>
        <v>7000</v>
      </c>
      <c r="H28" s="44">
        <f>G28/F28</f>
        <v>2.3333333333333335</v>
      </c>
      <c r="I28" s="45"/>
    </row>
    <row r="29" spans="3:9" x14ac:dyDescent="0.25">
      <c r="D29" s="42" t="s">
        <v>22</v>
      </c>
      <c r="E29" s="43">
        <v>35700</v>
      </c>
      <c r="F29" s="43">
        <v>10000</v>
      </c>
      <c r="G29" s="43" t="str">
        <f>IMSUB(E29,F29)</f>
        <v>25700</v>
      </c>
      <c r="H29" s="44">
        <f>G29/F29</f>
        <v>2.57</v>
      </c>
      <c r="I29" s="45"/>
    </row>
    <row r="30" spans="3:9" x14ac:dyDescent="0.25">
      <c r="D30" s="46" t="s">
        <v>82</v>
      </c>
      <c r="E30" s="47">
        <f>SUM(E25:E29)</f>
        <v>70700</v>
      </c>
      <c r="F30" s="47">
        <f>SUM(F25:F29)</f>
        <v>20000</v>
      </c>
      <c r="G30" s="47" t="str">
        <f>IMSUM(G25:G29)</f>
        <v>50700</v>
      </c>
      <c r="H30" s="329"/>
      <c r="I30" s="45"/>
    </row>
    <row r="31" spans="3:9" x14ac:dyDescent="0.25">
      <c r="D31" s="38" t="s">
        <v>42</v>
      </c>
      <c r="E31" s="48">
        <f>AVERAGE(E25:E29)</f>
        <v>14140</v>
      </c>
      <c r="F31" s="48">
        <f>AVERAGE(F25:F29)</f>
        <v>4000</v>
      </c>
      <c r="G31" s="48"/>
      <c r="H31" s="37"/>
      <c r="I31" s="45"/>
    </row>
    <row r="32" spans="3:9" x14ac:dyDescent="0.25">
      <c r="D32" s="38" t="s">
        <v>83</v>
      </c>
      <c r="E32" s="48">
        <f>MIN(E25:E29)</f>
        <v>8000</v>
      </c>
      <c r="F32" s="48">
        <f>MIN(F25:F29)</f>
        <v>1000</v>
      </c>
      <c r="G32" s="48"/>
      <c r="H32" s="37"/>
      <c r="I32" s="45"/>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34AFB-6EA0-4B8E-8768-1B2D42ABBDDB}">
  <dimension ref="B2:E65"/>
  <sheetViews>
    <sheetView zoomScaleNormal="100" workbookViewId="0">
      <selection activeCell="C19" sqref="C19"/>
    </sheetView>
  </sheetViews>
  <sheetFormatPr defaultColWidth="12.44140625" defaultRowHeight="13.8" outlineLevelRow="2" x14ac:dyDescent="0.3"/>
  <cols>
    <col min="1" max="3" width="12.44140625" style="49"/>
    <col min="4" max="4" width="19.21875" style="49" customWidth="1"/>
    <col min="5" max="5" width="18.77734375" style="49" customWidth="1"/>
    <col min="6" max="6" width="12.44140625" style="49"/>
    <col min="7" max="7" width="15.88671875" style="49" customWidth="1"/>
    <col min="8" max="16384" width="12.44140625" style="49"/>
  </cols>
  <sheetData>
    <row r="2" spans="2:5" ht="14.4" x14ac:dyDescent="0.3">
      <c r="B2" s="50" t="s">
        <v>18</v>
      </c>
      <c r="C2" s="50" t="s">
        <v>19</v>
      </c>
      <c r="D2" s="51" t="s">
        <v>16</v>
      </c>
      <c r="E2" s="51" t="s">
        <v>17</v>
      </c>
    </row>
    <row r="3" spans="2:5" outlineLevel="2" x14ac:dyDescent="0.3">
      <c r="B3" s="52">
        <v>36530</v>
      </c>
      <c r="C3" s="52" t="s">
        <v>20</v>
      </c>
      <c r="D3" s="53" t="s">
        <v>23</v>
      </c>
      <c r="E3" s="53">
        <v>10000</v>
      </c>
    </row>
    <row r="4" spans="2:5" outlineLevel="2" x14ac:dyDescent="0.3">
      <c r="B4" s="52">
        <v>36531</v>
      </c>
      <c r="C4" s="52" t="s">
        <v>20</v>
      </c>
      <c r="D4" s="53" t="s">
        <v>21</v>
      </c>
      <c r="E4" s="53">
        <v>12000</v>
      </c>
    </row>
    <row r="5" spans="2:5" outlineLevel="2" x14ac:dyDescent="0.3">
      <c r="B5" s="52">
        <v>36542</v>
      </c>
      <c r="C5" s="52" t="s">
        <v>20</v>
      </c>
      <c r="D5" s="53" t="s">
        <v>22</v>
      </c>
      <c r="E5" s="53">
        <v>35700</v>
      </c>
    </row>
    <row r="6" spans="2:5" outlineLevel="2" x14ac:dyDescent="0.3">
      <c r="B6" s="52">
        <v>36535</v>
      </c>
      <c r="C6" s="52" t="s">
        <v>20</v>
      </c>
      <c r="D6" s="53" t="s">
        <v>22</v>
      </c>
      <c r="E6" s="53">
        <v>42840</v>
      </c>
    </row>
    <row r="7" spans="2:5" outlineLevel="1" x14ac:dyDescent="0.3">
      <c r="B7" s="52"/>
      <c r="C7" s="54" t="s">
        <v>88</v>
      </c>
      <c r="D7" s="53"/>
      <c r="E7" s="53">
        <f>SUBTOTAL(9,E3:E6)</f>
        <v>100540</v>
      </c>
    </row>
    <row r="8" spans="2:5" outlineLevel="2" x14ac:dyDescent="0.3">
      <c r="B8" s="52">
        <v>36526</v>
      </c>
      <c r="C8" s="52" t="s">
        <v>24</v>
      </c>
      <c r="D8" s="53" t="s">
        <v>26</v>
      </c>
      <c r="E8" s="53">
        <v>4000</v>
      </c>
    </row>
    <row r="9" spans="2:5" outlineLevel="2" x14ac:dyDescent="0.3">
      <c r="B9" s="52">
        <v>36528</v>
      </c>
      <c r="C9" s="52" t="s">
        <v>24</v>
      </c>
      <c r="D9" s="53" t="s">
        <v>27</v>
      </c>
      <c r="E9" s="53">
        <v>8000</v>
      </c>
    </row>
    <row r="10" spans="2:5" outlineLevel="2" x14ac:dyDescent="0.3">
      <c r="B10" s="52">
        <v>36544</v>
      </c>
      <c r="C10" s="55" t="s">
        <v>24</v>
      </c>
      <c r="D10" s="53" t="s">
        <v>27</v>
      </c>
      <c r="E10" s="53">
        <v>8000</v>
      </c>
    </row>
    <row r="11" spans="2:5" outlineLevel="2" x14ac:dyDescent="0.3">
      <c r="B11" s="52">
        <v>36545</v>
      </c>
      <c r="C11" s="55" t="s">
        <v>24</v>
      </c>
      <c r="D11" s="53" t="s">
        <v>28</v>
      </c>
      <c r="E11" s="53">
        <v>8000</v>
      </c>
    </row>
    <row r="12" spans="2:5" outlineLevel="2" x14ac:dyDescent="0.3">
      <c r="B12" s="52">
        <v>36533</v>
      </c>
      <c r="C12" s="52" t="s">
        <v>24</v>
      </c>
      <c r="D12" s="53" t="s">
        <v>25</v>
      </c>
      <c r="E12" s="53">
        <v>32640</v>
      </c>
    </row>
    <row r="13" spans="2:5" outlineLevel="2" x14ac:dyDescent="0.3">
      <c r="B13" s="52">
        <v>36541</v>
      </c>
      <c r="C13" s="52" t="s">
        <v>24</v>
      </c>
      <c r="D13" s="53" t="s">
        <v>22</v>
      </c>
      <c r="E13" s="53">
        <v>42840</v>
      </c>
    </row>
    <row r="14" spans="2:5" outlineLevel="2" x14ac:dyDescent="0.3">
      <c r="B14" s="52">
        <v>36534</v>
      </c>
      <c r="C14" s="52" t="s">
        <v>24</v>
      </c>
      <c r="D14" s="53" t="s">
        <v>29</v>
      </c>
      <c r="E14" s="53">
        <v>48960</v>
      </c>
    </row>
    <row r="15" spans="2:5" outlineLevel="1" x14ac:dyDescent="0.3">
      <c r="B15" s="52"/>
      <c r="C15" s="56" t="s">
        <v>89</v>
      </c>
      <c r="D15" s="53"/>
      <c r="E15" s="53">
        <f>SUBTOTAL(9,E8:E14)</f>
        <v>152440</v>
      </c>
    </row>
    <row r="16" spans="2:5" outlineLevel="2" x14ac:dyDescent="0.3">
      <c r="B16" s="52">
        <v>36537</v>
      </c>
      <c r="C16" s="52" t="s">
        <v>30</v>
      </c>
      <c r="D16" s="53" t="s">
        <v>32</v>
      </c>
      <c r="E16" s="53">
        <v>6000</v>
      </c>
    </row>
    <row r="17" spans="2:5" outlineLevel="2" x14ac:dyDescent="0.3">
      <c r="B17" s="52">
        <v>36546</v>
      </c>
      <c r="C17" s="55" t="s">
        <v>30</v>
      </c>
      <c r="D17" s="53" t="s">
        <v>23</v>
      </c>
      <c r="E17" s="53">
        <v>10000</v>
      </c>
    </row>
    <row r="18" spans="2:5" outlineLevel="2" x14ac:dyDescent="0.3">
      <c r="B18" s="52">
        <v>36539</v>
      </c>
      <c r="C18" s="52" t="s">
        <v>30</v>
      </c>
      <c r="D18" s="53" t="s">
        <v>25</v>
      </c>
      <c r="E18" s="53">
        <v>32640</v>
      </c>
    </row>
    <row r="19" spans="2:5" outlineLevel="2" x14ac:dyDescent="0.3">
      <c r="B19" s="52">
        <v>36538</v>
      </c>
      <c r="C19" s="52" t="s">
        <v>30</v>
      </c>
      <c r="D19" s="53" t="s">
        <v>31</v>
      </c>
      <c r="E19" s="53">
        <v>35700</v>
      </c>
    </row>
    <row r="20" spans="2:5" outlineLevel="2" x14ac:dyDescent="0.3">
      <c r="B20" s="52">
        <v>36540</v>
      </c>
      <c r="C20" s="52" t="s">
        <v>30</v>
      </c>
      <c r="D20" s="53" t="s">
        <v>29</v>
      </c>
      <c r="E20" s="53">
        <v>48960</v>
      </c>
    </row>
    <row r="21" spans="2:5" outlineLevel="1" x14ac:dyDescent="0.3">
      <c r="B21" s="52"/>
      <c r="C21" s="56" t="s">
        <v>90</v>
      </c>
      <c r="D21" s="53"/>
      <c r="E21" s="53">
        <f>SUBTOTAL(9,E16:E20)</f>
        <v>133300</v>
      </c>
    </row>
    <row r="22" spans="2:5" outlineLevel="2" x14ac:dyDescent="0.3">
      <c r="B22" s="52">
        <v>36536</v>
      </c>
      <c r="C22" s="52" t="s">
        <v>33</v>
      </c>
      <c r="D22" s="53" t="s">
        <v>26</v>
      </c>
      <c r="E22" s="53">
        <v>4000</v>
      </c>
    </row>
    <row r="23" spans="2:5" outlineLevel="2" x14ac:dyDescent="0.3">
      <c r="B23" s="52">
        <v>36529</v>
      </c>
      <c r="C23" s="52" t="s">
        <v>33</v>
      </c>
      <c r="D23" s="53" t="s">
        <v>28</v>
      </c>
      <c r="E23" s="53">
        <v>8000</v>
      </c>
    </row>
    <row r="24" spans="2:5" outlineLevel="2" x14ac:dyDescent="0.3">
      <c r="B24" s="52">
        <v>36527</v>
      </c>
      <c r="C24" s="52" t="s">
        <v>33</v>
      </c>
      <c r="D24" s="53" t="s">
        <v>34</v>
      </c>
      <c r="E24" s="53">
        <v>9000</v>
      </c>
    </row>
    <row r="25" spans="2:5" outlineLevel="2" x14ac:dyDescent="0.3">
      <c r="B25" s="52">
        <v>36543</v>
      </c>
      <c r="C25" s="52" t="s">
        <v>33</v>
      </c>
      <c r="D25" s="53" t="s">
        <v>34</v>
      </c>
      <c r="E25" s="53">
        <v>9000</v>
      </c>
    </row>
    <row r="26" spans="2:5" outlineLevel="2" x14ac:dyDescent="0.3">
      <c r="B26" s="52">
        <v>36532</v>
      </c>
      <c r="C26" s="52" t="s">
        <v>33</v>
      </c>
      <c r="D26" s="53" t="s">
        <v>31</v>
      </c>
      <c r="E26" s="53">
        <v>35700</v>
      </c>
    </row>
    <row r="27" spans="2:5" outlineLevel="2" x14ac:dyDescent="0.3">
      <c r="B27" s="52">
        <v>36547</v>
      </c>
      <c r="C27" s="55" t="s">
        <v>33</v>
      </c>
      <c r="D27" s="53" t="s">
        <v>22</v>
      </c>
      <c r="E27" s="53">
        <v>35700</v>
      </c>
    </row>
    <row r="28" spans="2:5" outlineLevel="1" x14ac:dyDescent="0.3">
      <c r="B28" s="57"/>
      <c r="C28" s="58" t="s">
        <v>91</v>
      </c>
      <c r="D28" s="59"/>
      <c r="E28" s="53">
        <f>SUBTOTAL(9,E22:E27)</f>
        <v>101400</v>
      </c>
    </row>
    <row r="29" spans="2:5" ht="14.55" customHeight="1" outlineLevel="1" x14ac:dyDescent="0.3">
      <c r="B29" s="60" t="s">
        <v>82</v>
      </c>
      <c r="C29" s="61"/>
      <c r="D29" s="62"/>
      <c r="E29" s="63">
        <f>SUM(E3:E27)</f>
        <v>873960</v>
      </c>
    </row>
    <row r="30" spans="2:5" ht="14.55" customHeight="1" outlineLevel="1" x14ac:dyDescent="0.3">
      <c r="B30" s="60"/>
      <c r="C30" s="61" t="s">
        <v>92</v>
      </c>
      <c r="D30" s="62"/>
      <c r="E30" s="63">
        <f>SUBTOTAL(9,E3:E29)</f>
        <v>1361640</v>
      </c>
    </row>
    <row r="36" spans="2:5" ht="14.4" x14ac:dyDescent="0.3">
      <c r="B36" s="50" t="s">
        <v>18</v>
      </c>
      <c r="C36" s="50" t="s">
        <v>19</v>
      </c>
      <c r="D36" s="51" t="s">
        <v>16</v>
      </c>
      <c r="E36" s="51" t="s">
        <v>17</v>
      </c>
    </row>
    <row r="37" spans="2:5" outlineLevel="2" x14ac:dyDescent="0.3">
      <c r="B37" s="52">
        <v>36531</v>
      </c>
      <c r="C37" s="52" t="s">
        <v>20</v>
      </c>
      <c r="D37" s="53" t="s">
        <v>21</v>
      </c>
      <c r="E37" s="53">
        <v>12000</v>
      </c>
    </row>
    <row r="38" spans="2:5" outlineLevel="2" x14ac:dyDescent="0.3">
      <c r="B38" s="52">
        <v>36542</v>
      </c>
      <c r="C38" s="52" t="s">
        <v>20</v>
      </c>
      <c r="D38" s="53" t="s">
        <v>22</v>
      </c>
      <c r="E38" s="53">
        <v>35700</v>
      </c>
    </row>
    <row r="39" spans="2:5" outlineLevel="2" x14ac:dyDescent="0.3">
      <c r="B39" s="52">
        <v>36535</v>
      </c>
      <c r="C39" s="52" t="s">
        <v>20</v>
      </c>
      <c r="D39" s="53" t="s">
        <v>22</v>
      </c>
      <c r="E39" s="53">
        <v>42840</v>
      </c>
    </row>
    <row r="40" spans="2:5" outlineLevel="2" x14ac:dyDescent="0.3">
      <c r="B40" s="52">
        <v>36530</v>
      </c>
      <c r="C40" s="52" t="s">
        <v>20</v>
      </c>
      <c r="D40" s="53" t="s">
        <v>23</v>
      </c>
      <c r="E40" s="53">
        <v>10000</v>
      </c>
    </row>
    <row r="41" spans="2:5" outlineLevel="1" x14ac:dyDescent="0.3">
      <c r="B41" s="52"/>
      <c r="C41" s="54"/>
      <c r="D41" s="53"/>
      <c r="E41" s="53"/>
    </row>
    <row r="42" spans="2:5" outlineLevel="2" x14ac:dyDescent="0.3">
      <c r="B42" s="52">
        <v>36533</v>
      </c>
      <c r="C42" s="52" t="s">
        <v>24</v>
      </c>
      <c r="D42" s="53" t="s">
        <v>25</v>
      </c>
      <c r="E42" s="53">
        <v>32640</v>
      </c>
    </row>
    <row r="43" spans="2:5" outlineLevel="2" x14ac:dyDescent="0.3">
      <c r="B43" s="52">
        <v>36526</v>
      </c>
      <c r="C43" s="52" t="s">
        <v>24</v>
      </c>
      <c r="D43" s="53" t="s">
        <v>26</v>
      </c>
      <c r="E43" s="53">
        <v>4000</v>
      </c>
    </row>
    <row r="44" spans="2:5" outlineLevel="2" x14ac:dyDescent="0.3">
      <c r="B44" s="52">
        <v>36528</v>
      </c>
      <c r="C44" s="52" t="s">
        <v>24</v>
      </c>
      <c r="D44" s="53" t="s">
        <v>27</v>
      </c>
      <c r="E44" s="53">
        <v>8000</v>
      </c>
    </row>
    <row r="45" spans="2:5" outlineLevel="2" x14ac:dyDescent="0.3">
      <c r="B45" s="52">
        <v>36544</v>
      </c>
      <c r="C45" s="55" t="s">
        <v>24</v>
      </c>
      <c r="D45" s="53" t="s">
        <v>27</v>
      </c>
      <c r="E45" s="53">
        <v>8000</v>
      </c>
    </row>
    <row r="46" spans="2:5" outlineLevel="2" x14ac:dyDescent="0.3">
      <c r="B46" s="52">
        <v>36541</v>
      </c>
      <c r="C46" s="52" t="s">
        <v>24</v>
      </c>
      <c r="D46" s="53" t="s">
        <v>22</v>
      </c>
      <c r="E46" s="53">
        <v>42840</v>
      </c>
    </row>
    <row r="47" spans="2:5" outlineLevel="2" x14ac:dyDescent="0.3">
      <c r="B47" s="52">
        <v>36545</v>
      </c>
      <c r="C47" s="55" t="s">
        <v>24</v>
      </c>
      <c r="D47" s="53" t="s">
        <v>28</v>
      </c>
      <c r="E47" s="53">
        <v>8000</v>
      </c>
    </row>
    <row r="48" spans="2:5" outlineLevel="2" x14ac:dyDescent="0.3">
      <c r="B48" s="52">
        <v>36534</v>
      </c>
      <c r="C48" s="52" t="s">
        <v>24</v>
      </c>
      <c r="D48" s="53" t="s">
        <v>29</v>
      </c>
      <c r="E48" s="53">
        <v>48960</v>
      </c>
    </row>
    <row r="49" spans="2:5" outlineLevel="1" x14ac:dyDescent="0.3"/>
    <row r="50" spans="2:5" outlineLevel="2" x14ac:dyDescent="0.3">
      <c r="B50" s="52">
        <v>36539</v>
      </c>
      <c r="C50" s="52" t="s">
        <v>30</v>
      </c>
      <c r="D50" s="53" t="s">
        <v>25</v>
      </c>
      <c r="E50" s="53">
        <v>32640</v>
      </c>
    </row>
    <row r="51" spans="2:5" outlineLevel="2" x14ac:dyDescent="0.3">
      <c r="B51" s="52">
        <v>36538</v>
      </c>
      <c r="C51" s="52" t="s">
        <v>30</v>
      </c>
      <c r="D51" s="53" t="s">
        <v>31</v>
      </c>
      <c r="E51" s="53">
        <v>35700</v>
      </c>
    </row>
    <row r="52" spans="2:5" outlineLevel="2" x14ac:dyDescent="0.3">
      <c r="B52" s="52">
        <v>36537</v>
      </c>
      <c r="C52" s="52" t="s">
        <v>30</v>
      </c>
      <c r="D52" s="53" t="s">
        <v>32</v>
      </c>
      <c r="E52" s="53">
        <v>6000</v>
      </c>
    </row>
    <row r="53" spans="2:5" outlineLevel="2" x14ac:dyDescent="0.3">
      <c r="B53" s="52">
        <v>36546</v>
      </c>
      <c r="C53" s="55" t="s">
        <v>30</v>
      </c>
      <c r="D53" s="53" t="s">
        <v>23</v>
      </c>
      <c r="E53" s="53">
        <v>10000</v>
      </c>
    </row>
    <row r="54" spans="2:5" outlineLevel="2" x14ac:dyDescent="0.3">
      <c r="B54" s="52">
        <v>36540</v>
      </c>
      <c r="C54" s="52" t="s">
        <v>30</v>
      </c>
      <c r="D54" s="53" t="s">
        <v>29</v>
      </c>
      <c r="E54" s="53">
        <v>48960</v>
      </c>
    </row>
    <row r="55" spans="2:5" outlineLevel="1" x14ac:dyDescent="0.3">
      <c r="B55" s="52"/>
      <c r="C55" s="56"/>
      <c r="D55" s="53"/>
      <c r="E55" s="53"/>
    </row>
    <row r="56" spans="2:5" hidden="1" outlineLevel="2" x14ac:dyDescent="0.3">
      <c r="B56" s="52">
        <v>36536</v>
      </c>
      <c r="C56" s="52" t="s">
        <v>33</v>
      </c>
      <c r="D56" s="53" t="s">
        <v>26</v>
      </c>
      <c r="E56" s="53">
        <v>4000</v>
      </c>
    </row>
    <row r="57" spans="2:5" hidden="1" outlineLevel="2" x14ac:dyDescent="0.3">
      <c r="B57" s="52">
        <v>36532</v>
      </c>
      <c r="C57" s="52" t="s">
        <v>33</v>
      </c>
      <c r="D57" s="53" t="s">
        <v>31</v>
      </c>
      <c r="E57" s="53">
        <v>35700</v>
      </c>
    </row>
    <row r="58" spans="2:5" hidden="1" outlineLevel="2" x14ac:dyDescent="0.3">
      <c r="B58" s="52">
        <v>36527</v>
      </c>
      <c r="C58" s="52" t="s">
        <v>33</v>
      </c>
      <c r="D58" s="53" t="s">
        <v>34</v>
      </c>
      <c r="E58" s="53">
        <v>9000</v>
      </c>
    </row>
    <row r="59" spans="2:5" hidden="1" outlineLevel="2" x14ac:dyDescent="0.3">
      <c r="B59" s="52">
        <v>36543</v>
      </c>
      <c r="C59" s="52" t="s">
        <v>33</v>
      </c>
      <c r="D59" s="53" t="s">
        <v>34</v>
      </c>
      <c r="E59" s="53">
        <v>9000</v>
      </c>
    </row>
    <row r="60" spans="2:5" hidden="1" outlineLevel="2" x14ac:dyDescent="0.3">
      <c r="B60" s="52">
        <v>36547</v>
      </c>
      <c r="C60" s="55" t="s">
        <v>33</v>
      </c>
      <c r="D60" s="53" t="s">
        <v>22</v>
      </c>
      <c r="E60" s="53">
        <v>35700</v>
      </c>
    </row>
    <row r="61" spans="2:5" hidden="1" outlineLevel="2" x14ac:dyDescent="0.3">
      <c r="B61" s="52">
        <v>36529</v>
      </c>
      <c r="C61" s="52" t="s">
        <v>33</v>
      </c>
      <c r="D61" s="53" t="s">
        <v>28</v>
      </c>
      <c r="E61" s="53">
        <v>8000</v>
      </c>
    </row>
    <row r="62" spans="2:5" outlineLevel="1" collapsed="1" x14ac:dyDescent="0.3">
      <c r="B62" s="57"/>
      <c r="C62" s="64"/>
      <c r="D62" s="59"/>
      <c r="E62" s="53"/>
    </row>
    <row r="63" spans="2:5" ht="15.6" outlineLevel="1" x14ac:dyDescent="0.3">
      <c r="B63" s="65" t="s">
        <v>82</v>
      </c>
      <c r="C63" s="66"/>
      <c r="D63" s="67"/>
      <c r="E63" s="68"/>
    </row>
    <row r="64" spans="2:5" ht="15.6" outlineLevel="1" x14ac:dyDescent="0.3">
      <c r="B64" s="65" t="s">
        <v>93</v>
      </c>
      <c r="C64" s="66"/>
      <c r="D64" s="67"/>
      <c r="E64" s="68"/>
    </row>
    <row r="65" spans="2:3" ht="15.6" outlineLevel="1" x14ac:dyDescent="0.3">
      <c r="B65" s="65"/>
      <c r="C65" s="66" t="s">
        <v>94</v>
      </c>
    </row>
  </sheetData>
  <autoFilter ref="B36:E36" xr:uid="{7E0F4708-AA2C-4C47-A31B-60C4326FD4FD}">
    <sortState xmlns:xlrd2="http://schemas.microsoft.com/office/spreadsheetml/2017/richdata2" ref="B37:E60">
      <sortCondition ref="C36"/>
    </sortState>
  </autoFilter>
  <dataConsolidate/>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9B91-43B4-4508-B84D-62079153460E}">
  <dimension ref="B2:J21"/>
  <sheetViews>
    <sheetView workbookViewId="0">
      <pane ySplit="2" topLeftCell="A3" activePane="bottomLeft" state="frozen"/>
      <selection activeCell="C19" sqref="C19"/>
      <selection pane="bottomLeft" activeCell="C19" sqref="C19"/>
    </sheetView>
  </sheetViews>
  <sheetFormatPr defaultColWidth="15.109375" defaultRowHeight="16.5" customHeight="1" x14ac:dyDescent="0.3"/>
  <cols>
    <col min="1" max="1" width="10" style="83" customWidth="1"/>
    <col min="2" max="2" width="32.88671875" style="83" customWidth="1"/>
    <col min="3" max="3" width="13" style="83" customWidth="1"/>
    <col min="4" max="6" width="12.109375" style="83" customWidth="1"/>
    <col min="7" max="7" width="11.21875" style="83" customWidth="1"/>
    <col min="8" max="8" width="12" style="83" customWidth="1"/>
    <col min="9" max="9" width="11.88671875" style="83" customWidth="1"/>
    <col min="10" max="10" width="12.109375" style="83" customWidth="1"/>
    <col min="11" max="16384" width="15.109375" style="83"/>
  </cols>
  <sheetData>
    <row r="2" spans="2:10" s="335" customFormat="1" ht="18" customHeight="1" x14ac:dyDescent="0.3">
      <c r="B2" s="333" t="s">
        <v>95</v>
      </c>
      <c r="C2" s="334">
        <v>163.4</v>
      </c>
      <c r="D2" s="334">
        <v>123.7</v>
      </c>
      <c r="E2" s="334">
        <v>133.68</v>
      </c>
      <c r="F2" s="334">
        <v>55.77</v>
      </c>
      <c r="G2" s="334">
        <v>67.344999999999999</v>
      </c>
      <c r="H2" s="334">
        <v>89.123000000000005</v>
      </c>
      <c r="I2" s="334">
        <v>12.484299999999999</v>
      </c>
      <c r="J2" s="334">
        <v>25.7654</v>
      </c>
    </row>
    <row r="3" spans="2:10" ht="16.5" customHeight="1" x14ac:dyDescent="0.3">
      <c r="B3" s="336" t="s">
        <v>96</v>
      </c>
      <c r="C3" s="337">
        <f t="shared" ref="C3:J3" si="0">ROUND(C2,0)</f>
        <v>163</v>
      </c>
      <c r="D3" s="337">
        <f t="shared" si="0"/>
        <v>124</v>
      </c>
      <c r="E3" s="337">
        <f t="shared" si="0"/>
        <v>134</v>
      </c>
      <c r="F3" s="337">
        <f t="shared" si="0"/>
        <v>56</v>
      </c>
      <c r="G3" s="337">
        <f t="shared" si="0"/>
        <v>67</v>
      </c>
      <c r="H3" s="337">
        <f t="shared" si="0"/>
        <v>89</v>
      </c>
      <c r="I3" s="337">
        <f t="shared" si="0"/>
        <v>12</v>
      </c>
      <c r="J3" s="337">
        <f t="shared" si="0"/>
        <v>26</v>
      </c>
    </row>
    <row r="4" spans="2:10" ht="16.5" customHeight="1" x14ac:dyDescent="0.3">
      <c r="B4" s="331" t="s">
        <v>97</v>
      </c>
      <c r="C4" s="69">
        <f t="shared" ref="C4:J4" si="1">ROUND(C2,1)</f>
        <v>163.4</v>
      </c>
      <c r="D4" s="69">
        <f t="shared" si="1"/>
        <v>123.7</v>
      </c>
      <c r="E4" s="69">
        <f t="shared" si="1"/>
        <v>133.69999999999999</v>
      </c>
      <c r="F4" s="69">
        <f t="shared" si="1"/>
        <v>55.8</v>
      </c>
      <c r="G4" s="69">
        <f t="shared" si="1"/>
        <v>67.3</v>
      </c>
      <c r="H4" s="69">
        <f t="shared" si="1"/>
        <v>89.1</v>
      </c>
      <c r="I4" s="69">
        <f t="shared" si="1"/>
        <v>12.5</v>
      </c>
      <c r="J4" s="69">
        <f t="shared" si="1"/>
        <v>25.8</v>
      </c>
    </row>
    <row r="5" spans="2:10" ht="16.5" customHeight="1" x14ac:dyDescent="0.3">
      <c r="B5" s="331" t="s">
        <v>98</v>
      </c>
      <c r="C5" s="69">
        <f t="shared" ref="C5:J5" si="2">ROUND(C2,2)</f>
        <v>163.4</v>
      </c>
      <c r="D5" s="69">
        <f t="shared" si="2"/>
        <v>123.7</v>
      </c>
      <c r="E5" s="69">
        <f t="shared" si="2"/>
        <v>133.68</v>
      </c>
      <c r="F5" s="69">
        <f t="shared" si="2"/>
        <v>55.77</v>
      </c>
      <c r="G5" s="69">
        <f t="shared" si="2"/>
        <v>67.349999999999994</v>
      </c>
      <c r="H5" s="69">
        <f t="shared" si="2"/>
        <v>89.12</v>
      </c>
      <c r="I5" s="69">
        <f t="shared" si="2"/>
        <v>12.48</v>
      </c>
      <c r="J5" s="69">
        <f t="shared" si="2"/>
        <v>25.77</v>
      </c>
    </row>
    <row r="6" spans="2:10" ht="16.5" customHeight="1" x14ac:dyDescent="0.3">
      <c r="B6" s="331" t="s">
        <v>99</v>
      </c>
      <c r="C6" s="69">
        <f>ROUND(C2,3)</f>
        <v>163.4</v>
      </c>
      <c r="D6" s="69">
        <f t="shared" ref="D6:J6" si="3">ROUND(D2,3)</f>
        <v>123.7</v>
      </c>
      <c r="E6" s="69">
        <f t="shared" si="3"/>
        <v>133.68</v>
      </c>
      <c r="F6" s="69">
        <f t="shared" si="3"/>
        <v>55.77</v>
      </c>
      <c r="G6" s="69">
        <f t="shared" si="3"/>
        <v>67.344999999999999</v>
      </c>
      <c r="H6" s="69">
        <f t="shared" si="3"/>
        <v>89.123000000000005</v>
      </c>
      <c r="I6" s="69">
        <f t="shared" si="3"/>
        <v>12.484</v>
      </c>
      <c r="J6" s="69">
        <f t="shared" si="3"/>
        <v>25.765000000000001</v>
      </c>
    </row>
    <row r="7" spans="2:10" ht="16.5" customHeight="1" x14ac:dyDescent="0.3">
      <c r="B7" s="332"/>
      <c r="C7" s="69"/>
      <c r="D7" s="69"/>
      <c r="E7" s="69"/>
      <c r="F7" s="69"/>
      <c r="G7" s="69"/>
      <c r="H7" s="69"/>
      <c r="I7" s="69"/>
      <c r="J7" s="69"/>
    </row>
    <row r="8" spans="2:10" ht="16.5" customHeight="1" x14ac:dyDescent="0.3">
      <c r="B8" s="331" t="s">
        <v>100</v>
      </c>
      <c r="C8" s="338">
        <f>ROUNDUP(C2,0)</f>
        <v>164</v>
      </c>
      <c r="D8" s="338">
        <f t="shared" ref="D8:J8" si="4">ROUNDUP(D2,0)</f>
        <v>124</v>
      </c>
      <c r="E8" s="338">
        <f t="shared" si="4"/>
        <v>134</v>
      </c>
      <c r="F8" s="338">
        <f t="shared" si="4"/>
        <v>56</v>
      </c>
      <c r="G8" s="338">
        <f t="shared" si="4"/>
        <v>68</v>
      </c>
      <c r="H8" s="338">
        <f t="shared" si="4"/>
        <v>90</v>
      </c>
      <c r="I8" s="338">
        <f t="shared" si="4"/>
        <v>13</v>
      </c>
      <c r="J8" s="338">
        <f t="shared" si="4"/>
        <v>26</v>
      </c>
    </row>
    <row r="9" spans="2:10" ht="16.5" customHeight="1" x14ac:dyDescent="0.3">
      <c r="B9" s="331" t="s">
        <v>101</v>
      </c>
      <c r="C9" s="69">
        <f>ROUNDUP(C2,1)</f>
        <v>163.4</v>
      </c>
      <c r="D9" s="69">
        <f t="shared" ref="D9:J9" si="5">ROUNDUP(D2,1)</f>
        <v>123.7</v>
      </c>
      <c r="E9" s="338">
        <f t="shared" si="5"/>
        <v>133.69999999999999</v>
      </c>
      <c r="F9" s="338">
        <f t="shared" si="5"/>
        <v>55.800000000000004</v>
      </c>
      <c r="G9" s="338">
        <f t="shared" si="5"/>
        <v>67.399999999999991</v>
      </c>
      <c r="H9" s="338">
        <f t="shared" si="5"/>
        <v>89.199999999999989</v>
      </c>
      <c r="I9" s="338">
        <f t="shared" si="5"/>
        <v>12.5</v>
      </c>
      <c r="J9" s="338">
        <f t="shared" si="5"/>
        <v>25.8</v>
      </c>
    </row>
    <row r="10" spans="2:10" ht="16.5" customHeight="1" x14ac:dyDescent="0.3">
      <c r="B10" s="331" t="s">
        <v>102</v>
      </c>
      <c r="C10" s="69">
        <f>ROUNDUP(C2,2)</f>
        <v>163.4</v>
      </c>
      <c r="D10" s="69">
        <f t="shared" ref="D10:J10" si="6">ROUNDUP(D2,2)</f>
        <v>123.7</v>
      </c>
      <c r="E10" s="69">
        <f t="shared" si="6"/>
        <v>133.68</v>
      </c>
      <c r="F10" s="69">
        <f t="shared" si="6"/>
        <v>55.77</v>
      </c>
      <c r="G10" s="338">
        <f t="shared" si="6"/>
        <v>67.350000000000009</v>
      </c>
      <c r="H10" s="338">
        <f t="shared" si="6"/>
        <v>89.13000000000001</v>
      </c>
      <c r="I10" s="338">
        <f t="shared" si="6"/>
        <v>12.49</v>
      </c>
      <c r="J10" s="338">
        <f t="shared" si="6"/>
        <v>25.770000000000003</v>
      </c>
    </row>
    <row r="11" spans="2:10" ht="16.5" customHeight="1" x14ac:dyDescent="0.3">
      <c r="B11" s="331" t="s">
        <v>103</v>
      </c>
      <c r="C11" s="69">
        <f>ROUNDUP(C2,3)</f>
        <v>163.4</v>
      </c>
      <c r="D11" s="69">
        <f t="shared" ref="D11:J11" si="7">ROUNDUP(D2,3)</f>
        <v>123.7</v>
      </c>
      <c r="E11" s="69">
        <f t="shared" si="7"/>
        <v>133.68</v>
      </c>
      <c r="F11" s="69">
        <f t="shared" si="7"/>
        <v>55.77</v>
      </c>
      <c r="G11" s="69">
        <f t="shared" si="7"/>
        <v>67.344999999999999</v>
      </c>
      <c r="H11" s="69">
        <f t="shared" si="7"/>
        <v>89.123000000000005</v>
      </c>
      <c r="I11" s="338">
        <f t="shared" si="7"/>
        <v>12.484999999999999</v>
      </c>
      <c r="J11" s="338">
        <f t="shared" si="7"/>
        <v>25.766000000000002</v>
      </c>
    </row>
    <row r="12" spans="2:10" ht="16.5" customHeight="1" x14ac:dyDescent="0.3">
      <c r="B12" s="332"/>
      <c r="C12" s="69"/>
      <c r="D12" s="69"/>
      <c r="E12" s="330"/>
      <c r="F12" s="330"/>
      <c r="G12" s="330"/>
      <c r="H12" s="330"/>
      <c r="I12" s="330"/>
      <c r="J12" s="330"/>
    </row>
    <row r="13" spans="2:10" ht="16.5" customHeight="1" x14ac:dyDescent="0.3">
      <c r="B13" s="331" t="s">
        <v>104</v>
      </c>
      <c r="C13" s="338">
        <f>ROUNDDOWN(C2,0)</f>
        <v>163</v>
      </c>
      <c r="D13" s="69">
        <f t="shared" ref="D13:J13" si="8">ROUNDDOWN(D2,0)</f>
        <v>123</v>
      </c>
      <c r="E13" s="338">
        <f t="shared" si="8"/>
        <v>133</v>
      </c>
      <c r="F13" s="338">
        <f t="shared" si="8"/>
        <v>55</v>
      </c>
      <c r="G13" s="338">
        <f t="shared" si="8"/>
        <v>67</v>
      </c>
      <c r="H13" s="338">
        <f t="shared" si="8"/>
        <v>89</v>
      </c>
      <c r="I13" s="338">
        <f t="shared" si="8"/>
        <v>12</v>
      </c>
      <c r="J13" s="338">
        <f t="shared" si="8"/>
        <v>25</v>
      </c>
    </row>
    <row r="14" spans="2:10" ht="16.5" customHeight="1" x14ac:dyDescent="0.3">
      <c r="B14" s="331" t="s">
        <v>105</v>
      </c>
      <c r="C14" s="69">
        <f>ROUNDDOWN(C2,1)</f>
        <v>163.4</v>
      </c>
      <c r="D14" s="69">
        <f t="shared" ref="D14:J14" si="9">ROUNDDOWN(D2,1)</f>
        <v>123.7</v>
      </c>
      <c r="E14" s="338">
        <f t="shared" si="9"/>
        <v>133.6</v>
      </c>
      <c r="F14" s="338">
        <f t="shared" si="9"/>
        <v>55.7</v>
      </c>
      <c r="G14" s="338">
        <f t="shared" si="9"/>
        <v>67.3</v>
      </c>
      <c r="H14" s="338">
        <f t="shared" si="9"/>
        <v>89.1</v>
      </c>
      <c r="I14" s="338">
        <f t="shared" si="9"/>
        <v>12.4</v>
      </c>
      <c r="J14" s="338">
        <f t="shared" si="9"/>
        <v>25.7</v>
      </c>
    </row>
    <row r="15" spans="2:10" ht="16.5" customHeight="1" x14ac:dyDescent="0.3">
      <c r="B15" s="331" t="s">
        <v>106</v>
      </c>
      <c r="C15" s="69">
        <f>ROUNDDOWN(C2,2)</f>
        <v>163.4</v>
      </c>
      <c r="D15" s="69">
        <f t="shared" ref="D15:J15" si="10">ROUNDDOWN(D2,2)</f>
        <v>123.7</v>
      </c>
      <c r="E15" s="69">
        <f t="shared" si="10"/>
        <v>133.68</v>
      </c>
      <c r="F15" s="69">
        <f>ROUNDDOWN(F2,2)</f>
        <v>55.77</v>
      </c>
      <c r="G15" s="338">
        <f t="shared" si="10"/>
        <v>67.34</v>
      </c>
      <c r="H15" s="338">
        <f>ROUNDDOWN(H2,2)</f>
        <v>89.12</v>
      </c>
      <c r="I15" s="338">
        <f t="shared" si="10"/>
        <v>12.48</v>
      </c>
      <c r="J15" s="338">
        <f t="shared" si="10"/>
        <v>25.76</v>
      </c>
    </row>
    <row r="16" spans="2:10" ht="16.5" customHeight="1" x14ac:dyDescent="0.3">
      <c r="B16" s="331" t="s">
        <v>107</v>
      </c>
      <c r="C16" s="69">
        <f>ROUNDDOWN(C2,3)</f>
        <v>163.4</v>
      </c>
      <c r="D16" s="69">
        <f t="shared" ref="D16:J16" si="11">ROUNDDOWN(D2,3)</f>
        <v>123.7</v>
      </c>
      <c r="E16" s="69">
        <f t="shared" si="11"/>
        <v>133.68</v>
      </c>
      <c r="F16" s="69">
        <f t="shared" si="11"/>
        <v>55.77</v>
      </c>
      <c r="G16" s="69">
        <f t="shared" si="11"/>
        <v>67.344999999999999</v>
      </c>
      <c r="H16" s="69">
        <f t="shared" si="11"/>
        <v>89.123000000000005</v>
      </c>
      <c r="I16" s="338">
        <f t="shared" si="11"/>
        <v>12.484</v>
      </c>
      <c r="J16" s="338">
        <f t="shared" si="11"/>
        <v>25.765000000000001</v>
      </c>
    </row>
    <row r="18" spans="2:10" ht="16.5" customHeight="1" x14ac:dyDescent="0.3">
      <c r="B18" s="331" t="s">
        <v>108</v>
      </c>
      <c r="C18" s="69">
        <f t="shared" ref="C18:J18" si="12">MROUND(C2,10)</f>
        <v>160</v>
      </c>
      <c r="D18" s="69">
        <f t="shared" si="12"/>
        <v>120</v>
      </c>
      <c r="E18" s="69">
        <f t="shared" si="12"/>
        <v>130</v>
      </c>
      <c r="F18" s="69">
        <f t="shared" si="12"/>
        <v>60</v>
      </c>
      <c r="G18" s="69">
        <f t="shared" si="12"/>
        <v>70</v>
      </c>
      <c r="H18" s="69">
        <f t="shared" si="12"/>
        <v>90</v>
      </c>
      <c r="I18" s="69">
        <f t="shared" si="12"/>
        <v>10</v>
      </c>
      <c r="J18" s="69">
        <f t="shared" si="12"/>
        <v>30</v>
      </c>
    </row>
    <row r="19" spans="2:10" ht="16.5" customHeight="1" x14ac:dyDescent="0.3">
      <c r="B19" s="331" t="s">
        <v>109</v>
      </c>
      <c r="C19" s="69">
        <f>MROUND(C2,7)</f>
        <v>161</v>
      </c>
      <c r="D19" s="69">
        <f t="shared" ref="D19:J19" si="13">MROUND(D2,7)</f>
        <v>126</v>
      </c>
      <c r="E19" s="69">
        <f t="shared" si="13"/>
        <v>133</v>
      </c>
      <c r="F19" s="69">
        <f>MROUND(F2,7)</f>
        <v>56</v>
      </c>
      <c r="G19" s="69">
        <f t="shared" si="13"/>
        <v>70</v>
      </c>
      <c r="H19" s="69">
        <f>MROUND(H2,7)</f>
        <v>91</v>
      </c>
      <c r="I19" s="69">
        <f t="shared" si="13"/>
        <v>14</v>
      </c>
      <c r="J19" s="69">
        <f t="shared" si="13"/>
        <v>28</v>
      </c>
    </row>
    <row r="20" spans="2:10" ht="16.5" customHeight="1" x14ac:dyDescent="0.3">
      <c r="B20" s="331" t="s">
        <v>110</v>
      </c>
      <c r="C20" s="69">
        <f>MROUND(C2,3)</f>
        <v>162</v>
      </c>
      <c r="D20" s="69">
        <f t="shared" ref="D20:J20" si="14">MROUND(D2,3)</f>
        <v>123</v>
      </c>
      <c r="E20" s="69">
        <f t="shared" si="14"/>
        <v>135</v>
      </c>
      <c r="F20" s="69">
        <f>MROUND(F2,3)</f>
        <v>57</v>
      </c>
      <c r="G20" s="69">
        <f t="shared" si="14"/>
        <v>66</v>
      </c>
      <c r="H20" s="69">
        <f>MROUND(H2,3)</f>
        <v>90</v>
      </c>
      <c r="I20" s="69">
        <f t="shared" si="14"/>
        <v>12</v>
      </c>
      <c r="J20" s="69">
        <f t="shared" si="14"/>
        <v>27</v>
      </c>
    </row>
    <row r="21" spans="2:10" ht="16.5" customHeight="1" x14ac:dyDescent="0.3">
      <c r="B21" s="331" t="s">
        <v>111</v>
      </c>
      <c r="C21" s="69">
        <f t="shared" ref="C21:J21" si="15">MROUND(C2,2)</f>
        <v>164</v>
      </c>
      <c r="D21" s="69">
        <f t="shared" si="15"/>
        <v>124</v>
      </c>
      <c r="E21" s="69">
        <f t="shared" si="15"/>
        <v>134</v>
      </c>
      <c r="F21" s="69">
        <f t="shared" si="15"/>
        <v>56</v>
      </c>
      <c r="G21" s="69">
        <f t="shared" si="15"/>
        <v>68</v>
      </c>
      <c r="H21" s="69">
        <f t="shared" si="15"/>
        <v>90</v>
      </c>
      <c r="I21" s="69">
        <f t="shared" si="15"/>
        <v>12</v>
      </c>
      <c r="J21" s="69">
        <f t="shared" si="15"/>
        <v>26</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B4642-45D4-4758-9B6A-E2EDD4CB01E5}">
  <dimension ref="B3:H46"/>
  <sheetViews>
    <sheetView topLeftCell="A37" zoomScale="115" zoomScaleNormal="115" zoomScaleSheetLayoutView="100" workbookViewId="0">
      <pane xSplit="2" topLeftCell="C1" activePane="topRight" state="frozen"/>
      <selection activeCell="C19" sqref="C19"/>
      <selection pane="topRight" activeCell="C19" sqref="C19"/>
    </sheetView>
  </sheetViews>
  <sheetFormatPr defaultColWidth="13.88671875" defaultRowHeight="19.05" customHeight="1" x14ac:dyDescent="0.3"/>
  <cols>
    <col min="1" max="1" width="8.88671875" style="70" customWidth="1"/>
    <col min="2" max="2" width="18.21875" style="70" customWidth="1"/>
    <col min="3" max="3" width="22.21875" style="70" customWidth="1"/>
    <col min="4" max="4" width="19" style="70" bestFit="1" customWidth="1"/>
    <col min="5" max="5" width="19.88671875" style="70" bestFit="1" customWidth="1"/>
    <col min="6" max="6" width="10.6640625" style="70" customWidth="1"/>
    <col min="7" max="7" width="13.77734375" style="70" bestFit="1" customWidth="1"/>
    <col min="8" max="8" width="10.6640625" style="70" customWidth="1"/>
    <col min="9" max="16384" width="13.88671875" style="70"/>
  </cols>
  <sheetData>
    <row r="3" spans="2:8" ht="19.05" customHeight="1" x14ac:dyDescent="0.3">
      <c r="B3" s="71" t="s">
        <v>195</v>
      </c>
      <c r="C3" s="71" t="s">
        <v>515</v>
      </c>
      <c r="D3" s="71" t="s">
        <v>169</v>
      </c>
      <c r="E3" s="71" t="s">
        <v>516</v>
      </c>
      <c r="F3" s="71" t="s">
        <v>517</v>
      </c>
      <c r="G3" s="71" t="s">
        <v>518</v>
      </c>
      <c r="H3" s="71" t="s">
        <v>519</v>
      </c>
    </row>
    <row r="4" spans="2:8" ht="19.05" customHeight="1" x14ac:dyDescent="0.3">
      <c r="B4" s="72" t="s">
        <v>113</v>
      </c>
      <c r="C4" s="72" t="str">
        <f>UPPER(B4)</f>
        <v>ANANYA PANDEY</v>
      </c>
      <c r="D4" s="72" t="str">
        <f>LOWER(B4)</f>
        <v>ananya pandey</v>
      </c>
      <c r="E4" s="72" t="str">
        <f>PROPER(B4)</f>
        <v>Ananya Pandey</v>
      </c>
      <c r="F4" s="72" t="str">
        <f>LEFT(B4, 5)</f>
        <v>Anany</v>
      </c>
      <c r="G4" s="72" t="str">
        <f>RIGHT(B4, 5)</f>
        <v>andey</v>
      </c>
      <c r="H4" s="72" t="str">
        <f>MID(B4, 2, 3)</f>
        <v>nan</v>
      </c>
    </row>
    <row r="5" spans="2:8" ht="19.05" customHeight="1" x14ac:dyDescent="0.3">
      <c r="B5" s="72" t="s">
        <v>114</v>
      </c>
      <c r="C5" s="72" t="str">
        <f>UPPER(B5)</f>
        <v>AROHI SHARMA</v>
      </c>
      <c r="D5" s="72" t="str">
        <f>LOWER(B5)</f>
        <v>arohi sharma</v>
      </c>
      <c r="E5" s="72" t="str">
        <f>PROPER(B5)</f>
        <v>Arohi Sharma</v>
      </c>
      <c r="F5" s="72" t="str">
        <f>LEFT(B5, 8)</f>
        <v>Arohi Sh</v>
      </c>
      <c r="G5" s="72" t="str">
        <f>RIGHT(B5, 8)</f>
        <v>i Sharma</v>
      </c>
      <c r="H5" s="72" t="str">
        <f>MID(B5, 3, 5)</f>
        <v>ohi S</v>
      </c>
    </row>
    <row r="6" spans="2:8" ht="26.55" customHeight="1" x14ac:dyDescent="0.3">
      <c r="B6" s="72" t="s">
        <v>115</v>
      </c>
      <c r="C6" s="72" t="str">
        <f>UPPER(B6)</f>
        <v>MOHANDAS KARAMCHAND GANDHI</v>
      </c>
      <c r="D6" s="72" t="str">
        <f t="shared" ref="D6:D12" si="0">LOWER(B6)</f>
        <v>mohandas karamchand gandhi</v>
      </c>
      <c r="E6" s="72" t="str">
        <f t="shared" ref="E6:E12" si="1">PROPER(B6)</f>
        <v>Mohandas Karamchand Gandhi</v>
      </c>
      <c r="F6" s="72" t="str">
        <f t="shared" ref="F6:F12" si="2">LEFT(B6, 8)</f>
        <v>Mohandas</v>
      </c>
      <c r="G6" s="72" t="str">
        <f t="shared" ref="G6:G12" si="3">RIGHT(B6, 8)</f>
        <v>d Gandhi</v>
      </c>
      <c r="H6" s="72" t="str">
        <f t="shared" ref="H6:H12" si="4">MID(B6, 3, 5)</f>
        <v>handa</v>
      </c>
    </row>
    <row r="7" spans="2:8" ht="19.05" customHeight="1" x14ac:dyDescent="0.3">
      <c r="B7" s="72" t="s">
        <v>513</v>
      </c>
      <c r="C7" s="72" t="str">
        <f t="shared" ref="C7:C12" si="5">UPPER(B7)</f>
        <v>MILIND KUMAR KALRA</v>
      </c>
      <c r="D7" s="72" t="str">
        <f t="shared" si="0"/>
        <v>milind kumar kalra</v>
      </c>
      <c r="E7" s="72" t="str">
        <f t="shared" si="1"/>
        <v>Milind Kumar Kalra</v>
      </c>
      <c r="F7" s="72" t="str">
        <f t="shared" si="2"/>
        <v>Milind K</v>
      </c>
      <c r="G7" s="72" t="str">
        <f t="shared" si="3"/>
        <v>ar Kalra</v>
      </c>
      <c r="H7" s="72" t="str">
        <f t="shared" si="4"/>
        <v xml:space="preserve">lind </v>
      </c>
    </row>
    <row r="8" spans="2:8" ht="19.05" customHeight="1" x14ac:dyDescent="0.3">
      <c r="B8" s="72" t="s">
        <v>116</v>
      </c>
      <c r="C8" s="72" t="str">
        <f t="shared" si="5"/>
        <v>ANSHU POONAWALA</v>
      </c>
      <c r="D8" s="72" t="str">
        <f t="shared" si="0"/>
        <v>anshu poonawala</v>
      </c>
      <c r="E8" s="72" t="str">
        <f t="shared" si="1"/>
        <v>Anshu Poonawala</v>
      </c>
      <c r="F8" s="72" t="str">
        <f t="shared" si="2"/>
        <v>Anshu Po</v>
      </c>
      <c r="G8" s="72" t="str">
        <f t="shared" si="3"/>
        <v>oonawala</v>
      </c>
      <c r="H8" s="72" t="str">
        <f t="shared" si="4"/>
        <v>shu P</v>
      </c>
    </row>
    <row r="9" spans="2:8" ht="19.05" customHeight="1" x14ac:dyDescent="0.3">
      <c r="B9" s="72" t="s">
        <v>117</v>
      </c>
      <c r="C9" s="72" t="str">
        <f t="shared" si="5"/>
        <v>RAHUL SINGH SHARMA</v>
      </c>
      <c r="D9" s="72" t="str">
        <f t="shared" si="0"/>
        <v>rahul singh sharma</v>
      </c>
      <c r="E9" s="72" t="str">
        <f t="shared" si="1"/>
        <v>Rahul Singh Sharma</v>
      </c>
      <c r="F9" s="72" t="str">
        <f t="shared" si="2"/>
        <v>Rahul Si</v>
      </c>
      <c r="G9" s="72" t="str">
        <f t="shared" si="3"/>
        <v>h Sharma</v>
      </c>
      <c r="H9" s="72" t="str">
        <f t="shared" si="4"/>
        <v>hul S</v>
      </c>
    </row>
    <row r="10" spans="2:8" ht="19.05" customHeight="1" x14ac:dyDescent="0.3">
      <c r="B10" s="72" t="s">
        <v>118</v>
      </c>
      <c r="C10" s="72" t="str">
        <f t="shared" si="5"/>
        <v>NEIL ARMSTRONG</v>
      </c>
      <c r="D10" s="72" t="str">
        <f t="shared" si="0"/>
        <v>neil armstrong</v>
      </c>
      <c r="E10" s="72" t="str">
        <f t="shared" si="1"/>
        <v>Neil Armstrong</v>
      </c>
      <c r="F10" s="72" t="str">
        <f t="shared" si="2"/>
        <v>Neil Arm</v>
      </c>
      <c r="G10" s="72" t="str">
        <f t="shared" si="3"/>
        <v>rmstrong</v>
      </c>
      <c r="H10" s="72" t="str">
        <f t="shared" si="4"/>
        <v>il Ar</v>
      </c>
    </row>
    <row r="11" spans="2:8" ht="19.05" customHeight="1" x14ac:dyDescent="0.3">
      <c r="B11" s="72" t="s">
        <v>119</v>
      </c>
      <c r="C11" s="72" t="str">
        <f t="shared" si="5"/>
        <v>AVNISH AGRAWAL</v>
      </c>
      <c r="D11" s="72" t="str">
        <f t="shared" si="0"/>
        <v>avnish agrawal</v>
      </c>
      <c r="E11" s="72" t="str">
        <f t="shared" si="1"/>
        <v>Avnish Agrawal</v>
      </c>
      <c r="F11" s="72" t="str">
        <f t="shared" si="2"/>
        <v>Avnish A</v>
      </c>
      <c r="G11" s="72" t="str">
        <f t="shared" si="3"/>
        <v xml:space="preserve"> Agrawal</v>
      </c>
      <c r="H11" s="72" t="str">
        <f t="shared" si="4"/>
        <v xml:space="preserve">nish </v>
      </c>
    </row>
    <row r="12" spans="2:8" ht="19.05" customHeight="1" x14ac:dyDescent="0.3">
      <c r="B12" s="72" t="s">
        <v>120</v>
      </c>
      <c r="C12" s="72" t="str">
        <f t="shared" si="5"/>
        <v>SHASHANK KHAN</v>
      </c>
      <c r="D12" s="72" t="str">
        <f t="shared" si="0"/>
        <v>shashank khan</v>
      </c>
      <c r="E12" s="72" t="str">
        <f t="shared" si="1"/>
        <v>Shashank Khan</v>
      </c>
      <c r="F12" s="72" t="str">
        <f t="shared" si="2"/>
        <v>Shashank</v>
      </c>
      <c r="G12" s="72" t="str">
        <f t="shared" si="3"/>
        <v>ank Khan</v>
      </c>
      <c r="H12" s="72" t="str">
        <f t="shared" si="4"/>
        <v>ashan</v>
      </c>
    </row>
    <row r="13" spans="2:8" ht="16.05" customHeight="1" x14ac:dyDescent="0.3"/>
    <row r="14" spans="2:8" ht="16.05" customHeight="1" x14ac:dyDescent="0.3"/>
    <row r="15" spans="2:8" ht="16.5" customHeight="1" thickBot="1" x14ac:dyDescent="0.35">
      <c r="F15" s="73"/>
    </row>
    <row r="16" spans="2:8" ht="19.05" customHeight="1" thickTop="1" x14ac:dyDescent="0.3">
      <c r="B16" s="71" t="s">
        <v>195</v>
      </c>
      <c r="C16" s="71" t="s">
        <v>520</v>
      </c>
      <c r="D16" s="71" t="s">
        <v>521</v>
      </c>
      <c r="E16" s="71" t="s">
        <v>520</v>
      </c>
      <c r="F16" s="71" t="s">
        <v>522</v>
      </c>
      <c r="G16" s="74" t="s">
        <v>523</v>
      </c>
    </row>
    <row r="17" spans="2:7" ht="19.05" customHeight="1" x14ac:dyDescent="0.3">
      <c r="B17" s="72" t="s">
        <v>121</v>
      </c>
      <c r="C17" s="72">
        <f>LEN(B17)</f>
        <v>17</v>
      </c>
      <c r="D17" s="72" t="str">
        <f>TRIM(B17)</f>
        <v>Ananya Pandey</v>
      </c>
      <c r="E17" s="72">
        <f>LEN(D17)</f>
        <v>13</v>
      </c>
      <c r="F17" s="72">
        <f>FIND("y", D17, 7)</f>
        <v>13</v>
      </c>
      <c r="G17" s="72">
        <f>SEARCH("y", D17, 7)</f>
        <v>13</v>
      </c>
    </row>
    <row r="18" spans="2:7" ht="19.05" customHeight="1" x14ac:dyDescent="0.3">
      <c r="B18" s="72" t="s">
        <v>122</v>
      </c>
      <c r="C18" s="72">
        <f>LEN(B18)</f>
        <v>19</v>
      </c>
      <c r="D18" s="72" t="str">
        <f>TRIM(B18)</f>
        <v>Arohi Sharma</v>
      </c>
      <c r="E18" s="72">
        <f>LEN(D18)</f>
        <v>12</v>
      </c>
      <c r="F18" s="72">
        <f>FIND("r", D18, 5)</f>
        <v>10</v>
      </c>
      <c r="G18" s="72">
        <f>SEARCH("r", D18, 5)</f>
        <v>10</v>
      </c>
    </row>
    <row r="19" spans="2:7" ht="28.05" customHeight="1" x14ac:dyDescent="0.3">
      <c r="B19" s="72" t="s">
        <v>123</v>
      </c>
      <c r="C19" s="72">
        <f t="shared" ref="C19:C25" si="6">LEN(B19)</f>
        <v>33</v>
      </c>
      <c r="D19" s="72" t="str">
        <f t="shared" ref="D19:D25" si="7">TRIM(B19)</f>
        <v>Mohandas Karamchand G andhi</v>
      </c>
      <c r="E19" s="72">
        <f t="shared" ref="E19:E25" si="8">LEN(D19)</f>
        <v>27</v>
      </c>
      <c r="F19" s="72">
        <f>FIND("M", D19)</f>
        <v>1</v>
      </c>
      <c r="G19" s="72">
        <f>SEARCH("M", D19)</f>
        <v>1</v>
      </c>
    </row>
    <row r="20" spans="2:7" ht="19.05" customHeight="1" x14ac:dyDescent="0.3">
      <c r="B20" s="72" t="s">
        <v>514</v>
      </c>
      <c r="C20" s="72">
        <f t="shared" si="6"/>
        <v>27</v>
      </c>
      <c r="D20" s="72" t="str">
        <f t="shared" si="7"/>
        <v>Milind Kalra</v>
      </c>
      <c r="E20" s="72">
        <f t="shared" si="8"/>
        <v>12</v>
      </c>
      <c r="F20" s="72">
        <f>FIND("l", D20)</f>
        <v>3</v>
      </c>
      <c r="G20" s="72">
        <f>SEARCH("l",D20)</f>
        <v>3</v>
      </c>
    </row>
    <row r="21" spans="2:7" ht="19.05" customHeight="1" x14ac:dyDescent="0.3">
      <c r="B21" s="72" t="s">
        <v>124</v>
      </c>
      <c r="C21" s="72">
        <f t="shared" si="6"/>
        <v>30</v>
      </c>
      <c r="D21" s="72" t="str">
        <f t="shared" si="7"/>
        <v>Anshu Poonawala</v>
      </c>
      <c r="E21" s="72">
        <f t="shared" si="8"/>
        <v>15</v>
      </c>
      <c r="F21" s="72">
        <f>FIND("o", D21)</f>
        <v>8</v>
      </c>
      <c r="G21" s="72">
        <f>SEARCH("o", D21)</f>
        <v>8</v>
      </c>
    </row>
    <row r="22" spans="2:7" ht="19.05" customHeight="1" x14ac:dyDescent="0.3">
      <c r="B22" s="72" t="s">
        <v>125</v>
      </c>
      <c r="C22" s="72">
        <f t="shared" si="6"/>
        <v>24</v>
      </c>
      <c r="D22" s="72" t="str">
        <f t="shared" si="7"/>
        <v>Rahul Singh Sharma</v>
      </c>
      <c r="E22" s="72">
        <f t="shared" si="8"/>
        <v>18</v>
      </c>
      <c r="F22" s="72">
        <f>FIND("g", D22)</f>
        <v>10</v>
      </c>
      <c r="G22" s="72" t="e">
        <f>SEARCH("g", E22)</f>
        <v>#VALUE!</v>
      </c>
    </row>
    <row r="23" spans="2:7" ht="19.05" customHeight="1" x14ac:dyDescent="0.3">
      <c r="B23" s="72" t="s">
        <v>126</v>
      </c>
      <c r="C23" s="72">
        <f t="shared" si="6"/>
        <v>18</v>
      </c>
      <c r="D23" s="72" t="str">
        <f t="shared" si="7"/>
        <v>Neil Armstrong</v>
      </c>
      <c r="E23" s="72">
        <f t="shared" si="8"/>
        <v>14</v>
      </c>
      <c r="F23" s="72">
        <f>FIND("g", D23)</f>
        <v>14</v>
      </c>
      <c r="G23" s="72" t="e">
        <f>SEARCH("g", E23)</f>
        <v>#VALUE!</v>
      </c>
    </row>
    <row r="24" spans="2:7" ht="19.05" customHeight="1" x14ac:dyDescent="0.3">
      <c r="B24" s="72" t="s">
        <v>119</v>
      </c>
      <c r="C24" s="72">
        <f t="shared" si="6"/>
        <v>14</v>
      </c>
      <c r="D24" s="72" t="str">
        <f t="shared" si="7"/>
        <v>Avnish Agrawal</v>
      </c>
      <c r="E24" s="72">
        <f t="shared" si="8"/>
        <v>14</v>
      </c>
      <c r="F24" s="72">
        <f>FIND("g", D24)</f>
        <v>9</v>
      </c>
      <c r="G24" s="72" t="e">
        <f>SEARCH("g", E24)</f>
        <v>#VALUE!</v>
      </c>
    </row>
    <row r="25" spans="2:7" ht="19.05" customHeight="1" x14ac:dyDescent="0.3">
      <c r="B25" s="72" t="s">
        <v>127</v>
      </c>
      <c r="C25" s="72">
        <f t="shared" si="6"/>
        <v>18</v>
      </c>
      <c r="D25" s="72" t="str">
        <f t="shared" si="7"/>
        <v>Shashank Khan</v>
      </c>
      <c r="E25" s="72">
        <f t="shared" si="8"/>
        <v>13</v>
      </c>
      <c r="F25" s="72">
        <f>FIND("K", D25)</f>
        <v>10</v>
      </c>
      <c r="G25" s="72" t="e">
        <f>SEARCH("K", E25)</f>
        <v>#VALUE!</v>
      </c>
    </row>
    <row r="27" spans="2:7" ht="19.05" customHeight="1" x14ac:dyDescent="0.3">
      <c r="B27" s="72"/>
    </row>
    <row r="28" spans="2:7" ht="19.05" customHeight="1" x14ac:dyDescent="0.3">
      <c r="C28" s="71" t="s">
        <v>195</v>
      </c>
      <c r="D28" s="71" t="s">
        <v>524</v>
      </c>
      <c r="E28" s="71" t="s">
        <v>525</v>
      </c>
    </row>
    <row r="29" spans="2:7" ht="19.05" customHeight="1" x14ac:dyDescent="0.3">
      <c r="C29" s="72" t="s">
        <v>113</v>
      </c>
      <c r="D29" s="72" t="str">
        <f>SUBSTITUTE(C29, "an", "Po")</f>
        <v>AnPoya PPodey</v>
      </c>
      <c r="E29" s="72" t="str">
        <f>REPLACE(C29, 1, 5, "Po")</f>
        <v>Poa Pandey</v>
      </c>
    </row>
    <row r="30" spans="2:7" ht="19.05" customHeight="1" x14ac:dyDescent="0.3">
      <c r="C30" s="72" t="s">
        <v>114</v>
      </c>
      <c r="D30" s="72" t="str">
        <f>SUBSTITUTE(C30, "rohi", "tul")</f>
        <v>Atul Sharma</v>
      </c>
      <c r="E30" s="72" t="str">
        <f>REPLACE(C30, 1, 5, "Tul")</f>
        <v>Tul Sharma</v>
      </c>
    </row>
    <row r="31" spans="2:7" ht="27" customHeight="1" x14ac:dyDescent="0.3">
      <c r="C31" s="72" t="s">
        <v>115</v>
      </c>
      <c r="D31" s="72" t="str">
        <f>SUBSTITUTE(C31, "das", "tul")</f>
        <v>Mohantul Karamchand Gandhi</v>
      </c>
      <c r="E31" s="72" t="str">
        <f>REPLACE(C31, 1, 5, "Tul")</f>
        <v>Tuldas Karamchand Gandhi</v>
      </c>
    </row>
    <row r="32" spans="2:7" ht="19.05" customHeight="1" x14ac:dyDescent="0.3">
      <c r="C32" s="72" t="s">
        <v>513</v>
      </c>
      <c r="D32" s="72" t="str">
        <f>SUBSTITUTE(C32, "lind", "tul")</f>
        <v>Mitul Kumar Kalra</v>
      </c>
      <c r="E32" s="72" t="str">
        <f t="shared" ref="E32:E37" si="9">REPLACE(C32, 1, 5, "Tul")</f>
        <v>Tuld Kumar Kalra</v>
      </c>
    </row>
    <row r="33" spans="3:7" ht="19.05" customHeight="1" x14ac:dyDescent="0.3">
      <c r="C33" s="72" t="s">
        <v>116</v>
      </c>
      <c r="D33" s="72" t="str">
        <f>SUBSTITUTE(C33, "oona", "tul")</f>
        <v>Anshu Ptulwala</v>
      </c>
      <c r="E33" s="72" t="str">
        <f t="shared" si="9"/>
        <v>Tul Poonawala</v>
      </c>
    </row>
    <row r="34" spans="3:7" ht="19.05" customHeight="1" x14ac:dyDescent="0.3">
      <c r="C34" s="72" t="s">
        <v>117</v>
      </c>
      <c r="D34" s="72" t="str">
        <f>SUBSTITUTE(C34, "Rahul", "tul")</f>
        <v>tul Singh Sharma</v>
      </c>
      <c r="E34" s="72" t="str">
        <f t="shared" si="9"/>
        <v>Tul Singh Sharma</v>
      </c>
    </row>
    <row r="35" spans="3:7" ht="19.05" customHeight="1" x14ac:dyDescent="0.3">
      <c r="C35" s="72" t="s">
        <v>118</v>
      </c>
      <c r="D35" s="72" t="str">
        <f>SUBSTITUTE(C35, "strong", "tul")</f>
        <v>Neil Armtul</v>
      </c>
      <c r="E35" s="72" t="str">
        <f t="shared" si="9"/>
        <v>TulArmstrong</v>
      </c>
    </row>
    <row r="36" spans="3:7" ht="19.05" customHeight="1" x14ac:dyDescent="0.3">
      <c r="C36" s="72" t="s">
        <v>119</v>
      </c>
      <c r="D36" s="72" t="str">
        <f>SUBSTITUTE(C36, "wal", "tul")</f>
        <v>Avnish Agratul</v>
      </c>
      <c r="E36" s="72" t="str">
        <f t="shared" si="9"/>
        <v>Tulh Agrawal</v>
      </c>
    </row>
    <row r="37" spans="3:7" ht="19.05" customHeight="1" x14ac:dyDescent="0.3">
      <c r="C37" s="72" t="s">
        <v>120</v>
      </c>
      <c r="D37" s="72" t="str">
        <f>SUBSTITUTE(C37, "ank", "tul")</f>
        <v>Shashtul Khan</v>
      </c>
      <c r="E37" s="72" t="str">
        <f t="shared" si="9"/>
        <v>Tulank Khan</v>
      </c>
    </row>
    <row r="39" spans="3:7" ht="30.45" customHeight="1" x14ac:dyDescent="0.3">
      <c r="C39" s="339" t="s">
        <v>128</v>
      </c>
      <c r="D39" s="72" t="str">
        <f>SUBSTITUTE(C39, "know", "have", 1)</f>
        <v>You don't always have what you don't know.</v>
      </c>
      <c r="E39" s="72" t="str">
        <f>REPLACE(C39, 8, 5, "have")</f>
        <v>You donhaveways know what you don't know.</v>
      </c>
    </row>
    <row r="40" spans="3:7" ht="27.45" customHeight="1" x14ac:dyDescent="0.3">
      <c r="D40" s="72" t="str">
        <f>SUBSTITUTE(C39, "know", "have", 2)</f>
        <v>You don't always know what you don't have.</v>
      </c>
      <c r="E40" s="70" t="str">
        <f>REPLACE("know", 2, 2, "have")</f>
        <v>khavew</v>
      </c>
    </row>
    <row r="41" spans="3:7" ht="19.05" customHeight="1" x14ac:dyDescent="0.3">
      <c r="C41" s="72"/>
      <c r="D41" s="72"/>
      <c r="E41" s="72"/>
      <c r="F41" s="72"/>
      <c r="G41" s="71" t="s">
        <v>526</v>
      </c>
    </row>
    <row r="42" spans="3:7" ht="19.05" customHeight="1" x14ac:dyDescent="0.3">
      <c r="C42" s="72"/>
      <c r="D42" s="72"/>
      <c r="E42" s="72" t="s">
        <v>129</v>
      </c>
      <c r="F42" s="72" t="s">
        <v>130</v>
      </c>
      <c r="G42" s="72" t="str">
        <f>_xlfn.CONCAT(E42, " ", F42)</f>
        <v>abc xyz</v>
      </c>
    </row>
    <row r="43" spans="3:7" ht="19.05" customHeight="1" x14ac:dyDescent="0.3">
      <c r="C43" s="72"/>
      <c r="D43" s="72"/>
      <c r="E43" s="72" t="s">
        <v>131</v>
      </c>
      <c r="F43" s="72" t="s">
        <v>132</v>
      </c>
      <c r="G43" s="72" t="str">
        <f>_xlfn.CONCAT(E43, " &amp; ", F43)</f>
        <v>def &amp; uvw</v>
      </c>
    </row>
    <row r="44" spans="3:7" ht="19.05" customHeight="1" x14ac:dyDescent="0.3">
      <c r="C44" s="72"/>
      <c r="D44" s="72"/>
      <c r="E44" s="340">
        <v>123</v>
      </c>
      <c r="F44" s="340">
        <v>456</v>
      </c>
      <c r="G44" s="72" t="str">
        <f>_xlfn.CONCAT(E44, " - ", F44)</f>
        <v>123 - 456</v>
      </c>
    </row>
    <row r="45" spans="3:7" ht="16.5" customHeight="1" x14ac:dyDescent="0.3">
      <c r="C45" s="72"/>
      <c r="D45" s="72"/>
      <c r="E45" s="72">
        <v>567</v>
      </c>
      <c r="F45" s="72">
        <v>789</v>
      </c>
      <c r="G45" s="72" t="str">
        <f>_xlfn.CONCAT(E45, " * ", F45)</f>
        <v>567 * 789</v>
      </c>
    </row>
    <row r="46" spans="3:7" ht="19.05" customHeight="1" x14ac:dyDescent="0.3">
      <c r="E46" s="72">
        <v>567</v>
      </c>
      <c r="F46" s="70" t="s">
        <v>130</v>
      </c>
      <c r="G46" s="72" t="str">
        <f>_xlfn.CONCAT(E46, " @ ", F46)</f>
        <v>567 @ xyz</v>
      </c>
    </row>
  </sheetData>
  <pageMargins left="0.7" right="0.7" top="0.75" bottom="0.75" header="0.3" footer="0.3"/>
  <pageSetup orientation="portrait" r:id="rId1"/>
  <ignoredErrors>
    <ignoredError sqref="D3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7456D-0E00-4C4A-A8AB-04F22515E1D7}">
  <dimension ref="B2:J28"/>
  <sheetViews>
    <sheetView workbookViewId="0">
      <selection activeCell="C19" sqref="C19"/>
    </sheetView>
  </sheetViews>
  <sheetFormatPr defaultColWidth="8.77734375" defaultRowHeight="15.6" x14ac:dyDescent="0.3"/>
  <cols>
    <col min="1" max="1" width="8.77734375" style="189"/>
    <col min="2" max="2" width="15.88671875" style="189" customWidth="1"/>
    <col min="3" max="3" width="13.88671875" style="189" customWidth="1"/>
    <col min="4" max="4" width="19.21875" style="189" customWidth="1"/>
    <col min="5" max="5" width="14.77734375" style="189" customWidth="1"/>
    <col min="6" max="6" width="8.77734375" style="189"/>
    <col min="7" max="7" width="26" style="189" customWidth="1"/>
    <col min="8" max="8" width="20.21875" style="189" customWidth="1"/>
    <col min="9" max="9" width="13.5546875" style="189" customWidth="1"/>
    <col min="10" max="16384" width="8.77734375" style="189"/>
  </cols>
  <sheetData>
    <row r="2" spans="2:10" x14ac:dyDescent="0.3">
      <c r="B2" s="191" t="s">
        <v>18</v>
      </c>
      <c r="C2" s="191" t="s">
        <v>19</v>
      </c>
      <c r="D2" s="191" t="s">
        <v>16</v>
      </c>
      <c r="E2" s="191" t="s">
        <v>17</v>
      </c>
    </row>
    <row r="3" spans="2:10" x14ac:dyDescent="0.3">
      <c r="B3" s="192">
        <v>37262</v>
      </c>
      <c r="C3" s="192" t="s">
        <v>20</v>
      </c>
      <c r="D3" s="192" t="s">
        <v>21</v>
      </c>
      <c r="E3" s="201">
        <v>12002</v>
      </c>
    </row>
    <row r="4" spans="2:10" x14ac:dyDescent="0.3">
      <c r="B4" s="192">
        <v>37273</v>
      </c>
      <c r="C4" s="192" t="s">
        <v>20</v>
      </c>
      <c r="D4" s="193" t="s">
        <v>22</v>
      </c>
      <c r="E4" s="201">
        <v>35700</v>
      </c>
      <c r="G4" s="205">
        <v>0.92013888888888884</v>
      </c>
      <c r="H4" s="194">
        <v>37257</v>
      </c>
    </row>
    <row r="5" spans="2:10" x14ac:dyDescent="0.3">
      <c r="B5" s="192">
        <v>37266</v>
      </c>
      <c r="C5" s="192" t="s">
        <v>20</v>
      </c>
      <c r="D5" s="193" t="s">
        <v>22</v>
      </c>
      <c r="E5" s="201">
        <v>42840</v>
      </c>
    </row>
    <row r="6" spans="2:10" x14ac:dyDescent="0.3">
      <c r="B6" s="192">
        <v>37261</v>
      </c>
      <c r="C6" s="192" t="s">
        <v>20</v>
      </c>
      <c r="D6" s="193" t="s">
        <v>23</v>
      </c>
      <c r="E6" s="201">
        <v>10000</v>
      </c>
      <c r="H6" s="206" t="s">
        <v>336</v>
      </c>
      <c r="I6" s="206">
        <v>1</v>
      </c>
      <c r="J6" s="207">
        <v>12</v>
      </c>
    </row>
    <row r="7" spans="2:10" x14ac:dyDescent="0.3">
      <c r="B7" s="206">
        <v>37262</v>
      </c>
      <c r="C7" s="206" t="s">
        <v>20</v>
      </c>
      <c r="D7" s="207" t="s">
        <v>23</v>
      </c>
      <c r="E7" s="208">
        <v>30000</v>
      </c>
      <c r="H7" s="189" t="s">
        <v>354</v>
      </c>
      <c r="I7" s="189">
        <v>3</v>
      </c>
      <c r="J7" s="189">
        <v>12</v>
      </c>
    </row>
    <row r="8" spans="2:10" x14ac:dyDescent="0.3">
      <c r="B8" s="206">
        <v>37264</v>
      </c>
      <c r="C8" s="206" t="s">
        <v>24</v>
      </c>
      <c r="D8" s="207" t="s">
        <v>25</v>
      </c>
      <c r="E8" s="209">
        <v>32640</v>
      </c>
      <c r="H8" s="206" t="s">
        <v>355</v>
      </c>
      <c r="I8" s="206" t="s">
        <v>363</v>
      </c>
      <c r="J8" s="207"/>
    </row>
    <row r="9" spans="2:10" x14ac:dyDescent="0.3">
      <c r="B9" s="206">
        <v>37257</v>
      </c>
      <c r="C9" s="206" t="s">
        <v>24</v>
      </c>
      <c r="D9" s="207" t="s">
        <v>26</v>
      </c>
      <c r="E9" s="208">
        <v>4000</v>
      </c>
      <c r="H9" s="189" t="s">
        <v>356</v>
      </c>
      <c r="I9" s="195" t="s">
        <v>364</v>
      </c>
    </row>
    <row r="10" spans="2:10" x14ac:dyDescent="0.3">
      <c r="B10" s="206">
        <v>37259</v>
      </c>
      <c r="C10" s="206" t="s">
        <v>24</v>
      </c>
      <c r="D10" s="207" t="s">
        <v>27</v>
      </c>
      <c r="E10" s="208">
        <v>8000</v>
      </c>
      <c r="H10" s="206" t="s">
        <v>357</v>
      </c>
      <c r="I10" s="206" t="s">
        <v>365</v>
      </c>
    </row>
    <row r="11" spans="2:10" x14ac:dyDescent="0.3">
      <c r="B11" s="206">
        <v>37275</v>
      </c>
      <c r="C11" s="207" t="s">
        <v>24</v>
      </c>
      <c r="D11" s="207" t="s">
        <v>27</v>
      </c>
      <c r="E11" s="210">
        <v>8000</v>
      </c>
      <c r="H11" s="206" t="s">
        <v>358</v>
      </c>
      <c r="I11" s="206" t="s">
        <v>366</v>
      </c>
    </row>
    <row r="12" spans="2:10" x14ac:dyDescent="0.3">
      <c r="B12" s="192">
        <v>37272</v>
      </c>
      <c r="C12" s="192" t="s">
        <v>24</v>
      </c>
      <c r="D12" s="193" t="s">
        <v>22</v>
      </c>
      <c r="E12" s="202">
        <v>42840</v>
      </c>
      <c r="H12" s="189" t="s">
        <v>359</v>
      </c>
      <c r="I12" s="189" t="s">
        <v>59</v>
      </c>
    </row>
    <row r="13" spans="2:10" x14ac:dyDescent="0.3">
      <c r="B13" s="192">
        <v>37276</v>
      </c>
      <c r="C13" s="193" t="s">
        <v>24</v>
      </c>
      <c r="D13" s="193" t="s">
        <v>28</v>
      </c>
      <c r="E13" s="202">
        <v>8000</v>
      </c>
      <c r="H13" s="189" t="s">
        <v>360</v>
      </c>
      <c r="I13" s="189" t="s">
        <v>2</v>
      </c>
    </row>
    <row r="14" spans="2:10" x14ac:dyDescent="0.3">
      <c r="B14" s="192">
        <v>37265</v>
      </c>
      <c r="C14" s="192" t="s">
        <v>24</v>
      </c>
      <c r="D14" s="193" t="s">
        <v>29</v>
      </c>
      <c r="E14" s="202">
        <v>48960</v>
      </c>
      <c r="H14" s="206" t="s">
        <v>361</v>
      </c>
      <c r="I14" s="206">
        <v>20</v>
      </c>
      <c r="J14" s="207"/>
    </row>
    <row r="15" spans="2:10" x14ac:dyDescent="0.3">
      <c r="B15" s="192">
        <v>37270</v>
      </c>
      <c r="C15" s="192" t="s">
        <v>30</v>
      </c>
      <c r="D15" s="193" t="s">
        <v>25</v>
      </c>
      <c r="E15" s="202">
        <v>32640</v>
      </c>
      <c r="H15" s="189" t="s">
        <v>362</v>
      </c>
      <c r="I15" s="189">
        <v>2020</v>
      </c>
    </row>
    <row r="16" spans="2:10" x14ac:dyDescent="0.3">
      <c r="B16" s="192">
        <v>37271</v>
      </c>
      <c r="C16" s="192" t="s">
        <v>30</v>
      </c>
      <c r="D16" s="193" t="s">
        <v>25</v>
      </c>
      <c r="E16" s="202">
        <v>42002</v>
      </c>
    </row>
    <row r="17" spans="2:8" x14ac:dyDescent="0.3">
      <c r="B17" s="192">
        <v>37269</v>
      </c>
      <c r="C17" s="192" t="s">
        <v>30</v>
      </c>
      <c r="D17" s="193" t="s">
        <v>31</v>
      </c>
      <c r="E17" s="202">
        <v>35700</v>
      </c>
    </row>
    <row r="18" spans="2:8" x14ac:dyDescent="0.3">
      <c r="B18" s="192">
        <v>37268</v>
      </c>
      <c r="C18" s="192" t="s">
        <v>30</v>
      </c>
      <c r="D18" s="193" t="s">
        <v>32</v>
      </c>
      <c r="E18" s="203">
        <v>6000</v>
      </c>
      <c r="G18" s="196">
        <v>37262</v>
      </c>
      <c r="H18" s="189" t="s">
        <v>367</v>
      </c>
    </row>
    <row r="19" spans="2:8" x14ac:dyDescent="0.3">
      <c r="B19" s="192">
        <v>37277</v>
      </c>
      <c r="C19" s="193" t="s">
        <v>30</v>
      </c>
      <c r="D19" s="193" t="s">
        <v>23</v>
      </c>
      <c r="E19" s="203">
        <v>10000</v>
      </c>
      <c r="G19" s="197">
        <v>37273</v>
      </c>
      <c r="H19" s="189" t="s">
        <v>368</v>
      </c>
    </row>
    <row r="20" spans="2:8" x14ac:dyDescent="0.3">
      <c r="B20" s="192">
        <v>37271</v>
      </c>
      <c r="C20" s="192" t="s">
        <v>30</v>
      </c>
      <c r="D20" s="193" t="s">
        <v>29</v>
      </c>
      <c r="E20" s="203">
        <v>48960</v>
      </c>
      <c r="G20" s="198">
        <v>37266</v>
      </c>
      <c r="H20" s="189" t="s">
        <v>369</v>
      </c>
    </row>
    <row r="21" spans="2:8" x14ac:dyDescent="0.3">
      <c r="B21" s="192">
        <v>37267</v>
      </c>
      <c r="C21" s="192" t="s">
        <v>33</v>
      </c>
      <c r="D21" s="193" t="s">
        <v>26</v>
      </c>
      <c r="E21" s="203">
        <v>4000</v>
      </c>
      <c r="G21" s="199">
        <v>37261</v>
      </c>
      <c r="H21" s="189" t="s">
        <v>370</v>
      </c>
    </row>
    <row r="22" spans="2:8" x14ac:dyDescent="0.3">
      <c r="B22" s="192">
        <v>37263</v>
      </c>
      <c r="C22" s="192" t="s">
        <v>33</v>
      </c>
      <c r="D22" s="193" t="s">
        <v>31</v>
      </c>
      <c r="E22" s="203">
        <v>35700</v>
      </c>
      <c r="G22" s="200">
        <v>37262</v>
      </c>
      <c r="H22" s="189" t="s">
        <v>371</v>
      </c>
    </row>
    <row r="23" spans="2:8" x14ac:dyDescent="0.3">
      <c r="B23" s="192">
        <v>37258</v>
      </c>
      <c r="C23" s="192" t="s">
        <v>33</v>
      </c>
      <c r="D23" s="193" t="s">
        <v>34</v>
      </c>
      <c r="E23" s="203">
        <v>7000</v>
      </c>
      <c r="G23" s="192">
        <v>37264</v>
      </c>
    </row>
    <row r="24" spans="2:8" x14ac:dyDescent="0.3">
      <c r="B24" s="192">
        <v>37274</v>
      </c>
      <c r="C24" s="192" t="s">
        <v>33</v>
      </c>
      <c r="D24" s="193" t="s">
        <v>34</v>
      </c>
      <c r="E24" s="203">
        <v>9000</v>
      </c>
      <c r="G24" s="192">
        <v>37257</v>
      </c>
      <c r="H24" s="204">
        <v>37262</v>
      </c>
    </row>
    <row r="25" spans="2:8" x14ac:dyDescent="0.3">
      <c r="B25" s="192">
        <v>37278</v>
      </c>
      <c r="C25" s="193" t="s">
        <v>33</v>
      </c>
      <c r="D25" s="193" t="s">
        <v>22</v>
      </c>
      <c r="E25" s="203">
        <v>35700</v>
      </c>
      <c r="G25" s="192">
        <v>37250</v>
      </c>
    </row>
    <row r="26" spans="2:8" x14ac:dyDescent="0.3">
      <c r="B26" s="192">
        <v>37260</v>
      </c>
      <c r="C26" s="192" t="s">
        <v>33</v>
      </c>
      <c r="D26" s="193" t="s">
        <v>28</v>
      </c>
      <c r="E26" s="203">
        <v>8000</v>
      </c>
      <c r="G26" s="192">
        <v>37243</v>
      </c>
    </row>
    <row r="27" spans="2:8" x14ac:dyDescent="0.3">
      <c r="G27" s="192">
        <v>37236</v>
      </c>
    </row>
    <row r="28" spans="2:8" x14ac:dyDescent="0.3">
      <c r="G28" s="192">
        <v>37229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E671D-3205-4A4C-94B2-8C09C33C3CB8}">
  <dimension ref="B2:J24"/>
  <sheetViews>
    <sheetView zoomScaleNormal="100" workbookViewId="0">
      <selection activeCell="C19" sqref="C19"/>
    </sheetView>
  </sheetViews>
  <sheetFormatPr defaultColWidth="8.77734375" defaultRowHeight="17.55" customHeight="1" x14ac:dyDescent="0.25"/>
  <cols>
    <col min="1" max="1" width="11.77734375" style="75" customWidth="1"/>
    <col min="2" max="2" width="12.77734375" style="75" customWidth="1"/>
    <col min="3" max="3" width="12.109375" style="75" customWidth="1"/>
    <col min="4" max="4" width="18.33203125" style="75" customWidth="1"/>
    <col min="5" max="5" width="13.5546875" style="75" customWidth="1"/>
    <col min="6" max="6" width="16.109375" style="75" customWidth="1"/>
    <col min="7" max="7" width="18.21875" style="75" customWidth="1"/>
    <col min="8" max="9" width="12.88671875" style="75" customWidth="1"/>
    <col min="10" max="11" width="40.77734375" style="75" bestFit="1" customWidth="1"/>
    <col min="12" max="16384" width="8.77734375" style="75"/>
  </cols>
  <sheetData>
    <row r="2" spans="2:10" s="343" customFormat="1" ht="20.55" customHeight="1" thickTop="1" thickBot="1" x14ac:dyDescent="0.4">
      <c r="B2" s="344" t="s">
        <v>18</v>
      </c>
      <c r="C2" s="344" t="s">
        <v>19</v>
      </c>
      <c r="D2" s="344" t="s">
        <v>16</v>
      </c>
      <c r="E2" s="344" t="s">
        <v>17</v>
      </c>
      <c r="J2" s="345" t="s">
        <v>133</v>
      </c>
    </row>
    <row r="3" spans="2:10" ht="17.55" customHeight="1" thickTop="1" thickBot="1" x14ac:dyDescent="0.4">
      <c r="B3" s="341">
        <v>36531</v>
      </c>
      <c r="C3" s="341" t="s">
        <v>20</v>
      </c>
      <c r="D3" s="342" t="s">
        <v>21</v>
      </c>
      <c r="E3" s="342">
        <v>12000</v>
      </c>
      <c r="J3" s="346" t="s">
        <v>134</v>
      </c>
    </row>
    <row r="4" spans="2:10" ht="17.55" customHeight="1" thickTop="1" thickBot="1" x14ac:dyDescent="0.4">
      <c r="B4" s="341">
        <v>36542</v>
      </c>
      <c r="C4" s="341" t="s">
        <v>20</v>
      </c>
      <c r="D4" s="342" t="s">
        <v>22</v>
      </c>
      <c r="E4" s="342">
        <v>35700</v>
      </c>
      <c r="J4" s="346" t="s">
        <v>135</v>
      </c>
    </row>
    <row r="5" spans="2:10" ht="17.55" customHeight="1" thickTop="1" thickBot="1" x14ac:dyDescent="0.4">
      <c r="B5" s="341">
        <v>36535</v>
      </c>
      <c r="C5" s="341" t="s">
        <v>20</v>
      </c>
      <c r="D5" s="342" t="s">
        <v>22</v>
      </c>
      <c r="E5" s="342">
        <v>42840</v>
      </c>
      <c r="J5" s="346" t="s">
        <v>136</v>
      </c>
    </row>
    <row r="6" spans="2:10" ht="17.55" customHeight="1" thickTop="1" thickBot="1" x14ac:dyDescent="0.4">
      <c r="B6" s="341">
        <v>36530</v>
      </c>
      <c r="C6" s="341" t="s">
        <v>20</v>
      </c>
      <c r="D6" s="342" t="s">
        <v>23</v>
      </c>
      <c r="E6" s="342">
        <v>10000</v>
      </c>
      <c r="F6" s="348" t="b">
        <f>E4&gt;E11</f>
        <v>0</v>
      </c>
      <c r="G6" s="78" t="b">
        <f>D3&gt;D9</f>
        <v>1</v>
      </c>
      <c r="J6" s="346" t="s">
        <v>137</v>
      </c>
    </row>
    <row r="7" spans="2:10" ht="17.55" customHeight="1" thickTop="1" thickBot="1" x14ac:dyDescent="0.4">
      <c r="B7" s="341">
        <v>36533</v>
      </c>
      <c r="C7" s="341" t="s">
        <v>24</v>
      </c>
      <c r="D7" s="342" t="s">
        <v>25</v>
      </c>
      <c r="E7" s="342">
        <v>32640</v>
      </c>
      <c r="F7" s="78" t="b">
        <f>E4&lt;E11</f>
        <v>1</v>
      </c>
      <c r="G7" s="78" t="b">
        <f>D9&lt;D11</f>
        <v>1</v>
      </c>
      <c r="J7" s="346" t="s">
        <v>138</v>
      </c>
    </row>
    <row r="8" spans="2:10" ht="17.55" customHeight="1" thickTop="1" thickBot="1" x14ac:dyDescent="0.4">
      <c r="B8" s="341">
        <v>36526</v>
      </c>
      <c r="C8" s="341" t="s">
        <v>24</v>
      </c>
      <c r="D8" s="342" t="s">
        <v>26</v>
      </c>
      <c r="E8" s="342">
        <v>4000</v>
      </c>
      <c r="F8" s="78" t="b">
        <f>E10=E9</f>
        <v>1</v>
      </c>
      <c r="G8" s="78" t="b">
        <f>D8&gt;=D13</f>
        <v>0</v>
      </c>
      <c r="J8" s="347" t="s">
        <v>139</v>
      </c>
    </row>
    <row r="9" spans="2:10" ht="17.55" customHeight="1" thickTop="1" thickBot="1" x14ac:dyDescent="0.3">
      <c r="B9" s="341">
        <v>36528</v>
      </c>
      <c r="C9" s="341" t="s">
        <v>24</v>
      </c>
      <c r="D9" s="342" t="s">
        <v>27</v>
      </c>
      <c r="E9" s="342">
        <v>8000</v>
      </c>
      <c r="F9" s="78" t="b">
        <f>E4&gt;=E11</f>
        <v>0</v>
      </c>
      <c r="G9" s="78" t="b">
        <f>D16&lt;=D15</f>
        <v>0</v>
      </c>
    </row>
    <row r="10" spans="2:10" ht="17.55" customHeight="1" thickTop="1" thickBot="1" x14ac:dyDescent="0.3">
      <c r="B10" s="341">
        <v>36544</v>
      </c>
      <c r="C10" s="342" t="s">
        <v>24</v>
      </c>
      <c r="D10" s="342" t="s">
        <v>27</v>
      </c>
      <c r="E10" s="342">
        <v>8000</v>
      </c>
      <c r="F10" s="78" t="b">
        <f>E4&lt;=E11</f>
        <v>1</v>
      </c>
      <c r="G10" s="78" t="b">
        <f>D9=D4</f>
        <v>0</v>
      </c>
    </row>
    <row r="11" spans="2:10" ht="17.55" customHeight="1" thickTop="1" thickBot="1" x14ac:dyDescent="0.3">
      <c r="B11" s="341">
        <v>36541</v>
      </c>
      <c r="C11" s="341" t="s">
        <v>24</v>
      </c>
      <c r="D11" s="342" t="s">
        <v>22</v>
      </c>
      <c r="E11" s="342">
        <v>42840</v>
      </c>
      <c r="F11" s="78" t="b">
        <f>E9&lt;&gt;E12</f>
        <v>0</v>
      </c>
      <c r="G11" s="78" t="b">
        <f>D9=D10</f>
        <v>1</v>
      </c>
    </row>
    <row r="12" spans="2:10" ht="17.55" customHeight="1" thickTop="1" thickBot="1" x14ac:dyDescent="0.3">
      <c r="B12" s="341">
        <v>36545</v>
      </c>
      <c r="C12" s="342" t="s">
        <v>24</v>
      </c>
      <c r="D12" s="342" t="s">
        <v>28</v>
      </c>
      <c r="E12" s="342">
        <v>8000</v>
      </c>
      <c r="F12" s="78" t="b">
        <f>E7&lt;&gt;E13</f>
        <v>1</v>
      </c>
      <c r="G12" s="78" t="b">
        <f>D12&lt;&gt;D14</f>
        <v>1</v>
      </c>
    </row>
    <row r="13" spans="2:10" ht="17.55" customHeight="1" thickTop="1" thickBot="1" x14ac:dyDescent="0.3">
      <c r="B13" s="341">
        <v>36534</v>
      </c>
      <c r="C13" s="341" t="s">
        <v>24</v>
      </c>
      <c r="D13" s="342" t="s">
        <v>29</v>
      </c>
      <c r="E13" s="342">
        <v>48960</v>
      </c>
      <c r="F13" s="78"/>
      <c r="G13" s="78"/>
    </row>
    <row r="14" spans="2:10" ht="17.55" customHeight="1" thickTop="1" thickBot="1" x14ac:dyDescent="0.3">
      <c r="B14" s="341">
        <v>36539</v>
      </c>
      <c r="C14" s="341" t="s">
        <v>30</v>
      </c>
      <c r="D14" s="342" t="s">
        <v>25</v>
      </c>
      <c r="E14" s="342">
        <v>32640</v>
      </c>
      <c r="F14" s="78"/>
      <c r="G14" s="78"/>
    </row>
    <row r="15" spans="2:10" ht="17.55" customHeight="1" thickTop="1" thickBot="1" x14ac:dyDescent="0.3">
      <c r="B15" s="341">
        <v>36538</v>
      </c>
      <c r="C15" s="341" t="s">
        <v>30</v>
      </c>
      <c r="D15" s="342" t="s">
        <v>31</v>
      </c>
      <c r="E15" s="342">
        <v>35700</v>
      </c>
      <c r="F15" s="78"/>
      <c r="G15" s="78"/>
    </row>
    <row r="16" spans="2:10" ht="17.55" customHeight="1" thickTop="1" thickBot="1" x14ac:dyDescent="0.3">
      <c r="B16" s="341">
        <v>36537</v>
      </c>
      <c r="C16" s="341" t="s">
        <v>30</v>
      </c>
      <c r="D16" s="342" t="s">
        <v>32</v>
      </c>
      <c r="E16" s="342">
        <v>6000</v>
      </c>
      <c r="F16" s="78"/>
      <c r="G16" s="78"/>
    </row>
    <row r="17" spans="2:7" ht="17.55" customHeight="1" thickTop="1" thickBot="1" x14ac:dyDescent="0.3">
      <c r="B17" s="341">
        <v>36546</v>
      </c>
      <c r="C17" s="342" t="s">
        <v>30</v>
      </c>
      <c r="D17" s="342" t="s">
        <v>23</v>
      </c>
      <c r="E17" s="342">
        <v>10000</v>
      </c>
      <c r="F17" s="78"/>
      <c r="G17" s="78"/>
    </row>
    <row r="18" spans="2:7" ht="17.55" customHeight="1" thickTop="1" thickBot="1" x14ac:dyDescent="0.3">
      <c r="B18" s="341">
        <v>36540</v>
      </c>
      <c r="C18" s="341" t="s">
        <v>30</v>
      </c>
      <c r="D18" s="342" t="s">
        <v>29</v>
      </c>
      <c r="E18" s="342">
        <v>48960</v>
      </c>
      <c r="G18" s="78"/>
    </row>
    <row r="19" spans="2:7" ht="17.55" customHeight="1" thickTop="1" thickBot="1" x14ac:dyDescent="0.3">
      <c r="B19" s="341">
        <v>36536</v>
      </c>
      <c r="C19" s="341" t="s">
        <v>33</v>
      </c>
      <c r="D19" s="342" t="s">
        <v>26</v>
      </c>
      <c r="E19" s="342">
        <v>4000</v>
      </c>
      <c r="G19" s="78"/>
    </row>
    <row r="20" spans="2:7" ht="17.55" customHeight="1" thickTop="1" thickBot="1" x14ac:dyDescent="0.3">
      <c r="B20" s="341">
        <v>36532</v>
      </c>
      <c r="C20" s="341" t="s">
        <v>33</v>
      </c>
      <c r="D20" s="342" t="s">
        <v>31</v>
      </c>
      <c r="E20" s="342">
        <v>35700</v>
      </c>
      <c r="G20" s="78"/>
    </row>
    <row r="21" spans="2:7" ht="17.55" customHeight="1" thickTop="1" thickBot="1" x14ac:dyDescent="0.3">
      <c r="B21" s="341">
        <v>36527</v>
      </c>
      <c r="C21" s="341" t="s">
        <v>33</v>
      </c>
      <c r="D21" s="342" t="s">
        <v>34</v>
      </c>
      <c r="E21" s="342">
        <v>9000</v>
      </c>
    </row>
    <row r="22" spans="2:7" ht="17.55" customHeight="1" thickTop="1" thickBot="1" x14ac:dyDescent="0.3">
      <c r="B22" s="341">
        <v>36543</v>
      </c>
      <c r="C22" s="341" t="s">
        <v>33</v>
      </c>
      <c r="D22" s="342" t="s">
        <v>34</v>
      </c>
      <c r="E22" s="342">
        <v>9000</v>
      </c>
    </row>
    <row r="23" spans="2:7" ht="17.55" customHeight="1" thickTop="1" thickBot="1" x14ac:dyDescent="0.3">
      <c r="B23" s="341">
        <v>36547</v>
      </c>
      <c r="C23" s="342" t="s">
        <v>33</v>
      </c>
      <c r="D23" s="342" t="s">
        <v>22</v>
      </c>
      <c r="E23" s="342">
        <v>35700</v>
      </c>
    </row>
    <row r="24" spans="2:7" ht="17.55" customHeight="1" thickTop="1" thickBot="1" x14ac:dyDescent="0.3">
      <c r="B24" s="341">
        <v>36529</v>
      </c>
      <c r="C24" s="341" t="s">
        <v>33</v>
      </c>
      <c r="D24" s="342" t="s">
        <v>28</v>
      </c>
      <c r="E24" s="342">
        <v>8000</v>
      </c>
    </row>
  </sheetData>
  <pageMargins left="0.25" right="0.25"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DE1C5-D4C6-4153-A9E9-16AE948173B1}">
  <dimension ref="C3:I25"/>
  <sheetViews>
    <sheetView zoomScaleNormal="100" workbookViewId="0">
      <selection activeCell="C19" sqref="C19"/>
    </sheetView>
  </sheetViews>
  <sheetFormatPr defaultColWidth="8.77734375" defaultRowHeight="14.4" x14ac:dyDescent="0.3"/>
  <cols>
    <col min="1" max="1" width="8.77734375" style="79"/>
    <col min="2" max="2" width="10.21875" style="79" customWidth="1"/>
    <col min="3" max="3" width="17" style="79" customWidth="1"/>
    <col min="4" max="4" width="14.5546875" style="79" customWidth="1"/>
    <col min="5" max="5" width="22.88671875" style="79" customWidth="1"/>
    <col min="6" max="6" width="16.33203125" style="79" customWidth="1"/>
    <col min="7" max="7" width="8.77734375" style="79"/>
    <col min="8" max="8" width="14.33203125" style="79" customWidth="1"/>
    <col min="9" max="9" width="26.21875" style="79" customWidth="1"/>
    <col min="10" max="10" width="12.77734375" style="79" customWidth="1"/>
    <col min="11" max="11" width="14.109375" style="79" customWidth="1"/>
    <col min="12" max="16384" width="8.77734375" style="79"/>
  </cols>
  <sheetData>
    <row r="3" spans="3:9" x14ac:dyDescent="0.3">
      <c r="C3" s="1" t="s">
        <v>18</v>
      </c>
      <c r="D3" s="1" t="s">
        <v>19</v>
      </c>
      <c r="E3" s="1" t="s">
        <v>16</v>
      </c>
      <c r="F3" s="1" t="s">
        <v>17</v>
      </c>
    </row>
    <row r="4" spans="3:9" x14ac:dyDescent="0.3">
      <c r="C4" s="76">
        <v>36531</v>
      </c>
      <c r="D4" s="76" t="s">
        <v>20</v>
      </c>
      <c r="E4" s="77" t="s">
        <v>21</v>
      </c>
      <c r="F4" s="77">
        <v>12000</v>
      </c>
      <c r="I4" s="80" t="s">
        <v>140</v>
      </c>
    </row>
    <row r="5" spans="3:9" x14ac:dyDescent="0.3">
      <c r="C5" s="76">
        <v>36542</v>
      </c>
      <c r="D5" s="76" t="s">
        <v>20</v>
      </c>
      <c r="E5" s="77" t="s">
        <v>22</v>
      </c>
      <c r="F5" s="77">
        <v>35700</v>
      </c>
      <c r="I5" s="80" t="s">
        <v>141</v>
      </c>
    </row>
    <row r="6" spans="3:9" x14ac:dyDescent="0.3">
      <c r="C6" s="76">
        <v>36535</v>
      </c>
      <c r="D6" s="76" t="s">
        <v>20</v>
      </c>
      <c r="E6" s="77" t="s">
        <v>22</v>
      </c>
      <c r="F6" s="77">
        <v>42840</v>
      </c>
      <c r="I6" s="80" t="s">
        <v>142</v>
      </c>
    </row>
    <row r="7" spans="3:9" x14ac:dyDescent="0.3">
      <c r="C7" s="76">
        <v>36530</v>
      </c>
      <c r="D7" s="76" t="s">
        <v>20</v>
      </c>
      <c r="E7" s="77" t="s">
        <v>23</v>
      </c>
      <c r="F7" s="77">
        <v>10000</v>
      </c>
      <c r="I7" s="80" t="s">
        <v>143</v>
      </c>
    </row>
    <row r="8" spans="3:9" x14ac:dyDescent="0.3">
      <c r="C8" s="76">
        <v>36533</v>
      </c>
      <c r="D8" s="76" t="s">
        <v>24</v>
      </c>
      <c r="E8" s="77" t="s">
        <v>25</v>
      </c>
      <c r="F8" s="77">
        <v>32640</v>
      </c>
      <c r="I8" s="80" t="s">
        <v>144</v>
      </c>
    </row>
    <row r="9" spans="3:9" x14ac:dyDescent="0.3">
      <c r="C9" s="76">
        <v>36526</v>
      </c>
      <c r="D9" s="76" t="s">
        <v>24</v>
      </c>
      <c r="E9" s="77" t="s">
        <v>26</v>
      </c>
      <c r="F9" s="77">
        <v>4000</v>
      </c>
      <c r="I9" s="80" t="s">
        <v>145</v>
      </c>
    </row>
    <row r="10" spans="3:9" x14ac:dyDescent="0.3">
      <c r="C10" s="76">
        <v>36528</v>
      </c>
      <c r="D10" s="76" t="s">
        <v>24</v>
      </c>
      <c r="E10" s="77" t="s">
        <v>27</v>
      </c>
      <c r="F10" s="77">
        <v>8000</v>
      </c>
    </row>
    <row r="11" spans="3:9" x14ac:dyDescent="0.3">
      <c r="C11" s="76">
        <v>36544</v>
      </c>
      <c r="D11" s="77" t="s">
        <v>24</v>
      </c>
      <c r="E11" s="77" t="s">
        <v>27</v>
      </c>
      <c r="F11" s="77">
        <v>8000</v>
      </c>
      <c r="H11" s="81" t="str">
        <f>IF(F4&gt;F5, "Yes", "No")</f>
        <v>No</v>
      </c>
    </row>
    <row r="12" spans="3:9" x14ac:dyDescent="0.3">
      <c r="C12" s="76">
        <v>36541</v>
      </c>
      <c r="D12" s="76" t="s">
        <v>24</v>
      </c>
      <c r="E12" s="77" t="s">
        <v>22</v>
      </c>
      <c r="F12" s="77">
        <v>42840</v>
      </c>
      <c r="H12" s="81" t="str">
        <f>IF(F4&lt;F5, "Yes", "No")</f>
        <v>Yes</v>
      </c>
    </row>
    <row r="13" spans="3:9" x14ac:dyDescent="0.3">
      <c r="C13" s="76">
        <v>36545</v>
      </c>
      <c r="D13" s="77" t="s">
        <v>24</v>
      </c>
      <c r="E13" s="77" t="s">
        <v>28</v>
      </c>
      <c r="F13" s="77">
        <v>8000</v>
      </c>
      <c r="H13" s="81">
        <f>IF(F8&gt;F14, 10, 20)</f>
        <v>20</v>
      </c>
    </row>
    <row r="14" spans="3:9" x14ac:dyDescent="0.3">
      <c r="C14" s="76">
        <v>36534</v>
      </c>
      <c r="D14" s="76" t="s">
        <v>24</v>
      </c>
      <c r="E14" s="77" t="s">
        <v>29</v>
      </c>
      <c r="F14" s="77">
        <v>48960</v>
      </c>
      <c r="H14" s="81">
        <f>IF(F9&lt;F15, 10, 20)</f>
        <v>10</v>
      </c>
    </row>
    <row r="15" spans="3:9" x14ac:dyDescent="0.3">
      <c r="C15" s="76">
        <v>36539</v>
      </c>
      <c r="D15" s="76" t="s">
        <v>30</v>
      </c>
      <c r="E15" s="77" t="s">
        <v>25</v>
      </c>
      <c r="F15" s="77">
        <v>32640</v>
      </c>
      <c r="H15" s="81" t="str">
        <f>IF(F7=F18, "YES", "NO")</f>
        <v>YES</v>
      </c>
    </row>
    <row r="16" spans="3:9" x14ac:dyDescent="0.3">
      <c r="C16" s="76">
        <v>36538</v>
      </c>
      <c r="D16" s="76" t="s">
        <v>30</v>
      </c>
      <c r="E16" s="77" t="s">
        <v>31</v>
      </c>
      <c r="F16" s="77">
        <v>35700</v>
      </c>
      <c r="H16" s="81" t="str">
        <f>IF(F18=F7, UPPER(I5), UPPER(I4))</f>
        <v>YES</v>
      </c>
    </row>
    <row r="17" spans="3:8" x14ac:dyDescent="0.3">
      <c r="C17" s="76">
        <v>36537</v>
      </c>
      <c r="D17" s="76" t="s">
        <v>30</v>
      </c>
      <c r="E17" s="77" t="s">
        <v>32</v>
      </c>
      <c r="F17" s="77">
        <v>6000</v>
      </c>
      <c r="H17" s="81" t="str">
        <f>IF(F21&lt;&gt;F19, "Expensive", "Inexpensive")</f>
        <v>Expensive</v>
      </c>
    </row>
    <row r="18" spans="3:8" x14ac:dyDescent="0.3">
      <c r="C18" s="76">
        <v>36546</v>
      </c>
      <c r="D18" s="77" t="s">
        <v>30</v>
      </c>
      <c r="E18" s="77" t="s">
        <v>23</v>
      </c>
      <c r="F18" s="77">
        <v>10000</v>
      </c>
      <c r="H18" s="81" t="str">
        <f>IF(F21&gt;F19, "Expensive", "Inexpensive")</f>
        <v>Inexpensive</v>
      </c>
    </row>
    <row r="19" spans="3:8" x14ac:dyDescent="0.3">
      <c r="C19" s="76">
        <v>36540</v>
      </c>
      <c r="D19" s="76" t="s">
        <v>30</v>
      </c>
      <c r="E19" s="77" t="s">
        <v>29</v>
      </c>
      <c r="F19" s="77">
        <v>48960</v>
      </c>
    </row>
    <row r="20" spans="3:8" x14ac:dyDescent="0.3">
      <c r="C20" s="76">
        <v>36536</v>
      </c>
      <c r="D20" s="76" t="s">
        <v>33</v>
      </c>
      <c r="E20" s="77" t="s">
        <v>26</v>
      </c>
      <c r="F20" s="77">
        <v>4000</v>
      </c>
    </row>
    <row r="21" spans="3:8" x14ac:dyDescent="0.3">
      <c r="C21" s="76">
        <v>36532</v>
      </c>
      <c r="D21" s="76" t="s">
        <v>33</v>
      </c>
      <c r="E21" s="77" t="s">
        <v>31</v>
      </c>
      <c r="F21" s="77">
        <v>35700</v>
      </c>
    </row>
    <row r="22" spans="3:8" x14ac:dyDescent="0.3">
      <c r="C22" s="76">
        <v>36527</v>
      </c>
      <c r="D22" s="76" t="s">
        <v>33</v>
      </c>
      <c r="E22" s="77" t="s">
        <v>34</v>
      </c>
      <c r="F22" s="77">
        <v>9000</v>
      </c>
    </row>
    <row r="23" spans="3:8" x14ac:dyDescent="0.3">
      <c r="C23" s="76">
        <v>36543</v>
      </c>
      <c r="D23" s="76" t="s">
        <v>33</v>
      </c>
      <c r="E23" s="77" t="s">
        <v>34</v>
      </c>
      <c r="F23" s="77">
        <v>9000</v>
      </c>
    </row>
    <row r="24" spans="3:8" x14ac:dyDescent="0.3">
      <c r="C24" s="76">
        <v>36547</v>
      </c>
      <c r="D24" s="77" t="s">
        <v>33</v>
      </c>
      <c r="E24" s="77" t="s">
        <v>22</v>
      </c>
      <c r="F24" s="77">
        <v>35700</v>
      </c>
    </row>
    <row r="25" spans="3:8" x14ac:dyDescent="0.3">
      <c r="C25" s="76">
        <v>36529</v>
      </c>
      <c r="D25" s="76" t="s">
        <v>33</v>
      </c>
      <c r="E25" s="77" t="s">
        <v>28</v>
      </c>
      <c r="F25" s="77">
        <v>8000</v>
      </c>
    </row>
  </sheetData>
  <pageMargins left="0.5" right="3.0708661417322838" top="1.0208333333333333" bottom="3.8976377952755907" header="0.31496062992125984" footer="0.31496062992125984"/>
  <pageSetup orientation="portrait" r:id="rId1"/>
  <headerFooter scaleWithDoc="0">
    <oddHeader>&amp;L&amp;"Algerian,Regular"&amp;16&amp;F -
&amp;P of &amp;N</oddHeader>
    <oddFooter>&amp;A</oddFooter>
  </headerFooter>
  <rowBreaks count="1" manualBreakCount="1">
    <brk id="14"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981F0-0904-404C-84C1-6A8DB735301D}">
  <dimension ref="B3:G13"/>
  <sheetViews>
    <sheetView zoomScaleNormal="100" zoomScalePageLayoutView="60" workbookViewId="0">
      <selection activeCell="C19" sqref="C19"/>
    </sheetView>
  </sheetViews>
  <sheetFormatPr defaultColWidth="8.77734375" defaultRowHeight="13.8" x14ac:dyDescent="0.3"/>
  <cols>
    <col min="1" max="1" width="10.21875" style="83" customWidth="1"/>
    <col min="2" max="2" width="20" style="83" customWidth="1"/>
    <col min="3" max="3" width="21.77734375" style="83" customWidth="1"/>
    <col min="4" max="4" width="21.21875" style="83" customWidth="1"/>
    <col min="5" max="5" width="18" style="83" customWidth="1"/>
    <col min="6" max="6" width="21.5546875" style="83" customWidth="1"/>
    <col min="7" max="7" width="21.21875" style="83" bestFit="1" customWidth="1"/>
    <col min="8" max="16384" width="8.77734375" style="83"/>
  </cols>
  <sheetData>
    <row r="3" spans="2:7" x14ac:dyDescent="0.3">
      <c r="B3" s="82" t="s">
        <v>16</v>
      </c>
      <c r="C3" s="82" t="s">
        <v>84</v>
      </c>
      <c r="D3" s="82" t="s">
        <v>85</v>
      </c>
      <c r="E3" s="82" t="s">
        <v>146</v>
      </c>
      <c r="F3" s="82" t="s">
        <v>147</v>
      </c>
      <c r="G3" s="83" t="s">
        <v>509</v>
      </c>
    </row>
    <row r="4" spans="2:7" x14ac:dyDescent="0.3">
      <c r="B4" s="84" t="s">
        <v>32</v>
      </c>
      <c r="C4" s="84">
        <v>20000</v>
      </c>
      <c r="D4" s="84">
        <v>1000</v>
      </c>
      <c r="E4" s="85" t="str">
        <f>IMSUB(C4,D4)</f>
        <v>19000</v>
      </c>
      <c r="F4" s="85">
        <f>C4-$E$13</f>
        <v>10000</v>
      </c>
      <c r="G4" s="83">
        <f>F4/$E$12</f>
        <v>200</v>
      </c>
    </row>
    <row r="5" spans="2:7" x14ac:dyDescent="0.3">
      <c r="B5" s="84" t="s">
        <v>31</v>
      </c>
      <c r="C5" s="84">
        <v>11000</v>
      </c>
      <c r="D5" s="84">
        <v>2000</v>
      </c>
      <c r="E5" s="85" t="str">
        <f>IMSUB(C5,D5)</f>
        <v>9000</v>
      </c>
      <c r="F5" s="85">
        <f>C5-$E$13</f>
        <v>1000</v>
      </c>
      <c r="G5" s="83">
        <f>F5/$E$12</f>
        <v>20</v>
      </c>
    </row>
    <row r="6" spans="2:7" x14ac:dyDescent="0.3">
      <c r="B6" s="84" t="s">
        <v>25</v>
      </c>
      <c r="C6" s="84">
        <v>11000</v>
      </c>
      <c r="D6" s="84">
        <v>4000</v>
      </c>
      <c r="E6" s="85" t="str">
        <f>IMSUB(C6,D6)</f>
        <v>7000</v>
      </c>
      <c r="F6" s="85">
        <f>C6-$E$13</f>
        <v>1000</v>
      </c>
      <c r="G6" s="83">
        <f>F6/$E$12</f>
        <v>20</v>
      </c>
    </row>
    <row r="7" spans="2:7" x14ac:dyDescent="0.3">
      <c r="B7" s="84" t="s">
        <v>29</v>
      </c>
      <c r="C7" s="84">
        <v>10000</v>
      </c>
      <c r="D7" s="84">
        <v>3000</v>
      </c>
      <c r="E7" s="85" t="str">
        <f>IMSUB(C7,D7)</f>
        <v>7000</v>
      </c>
      <c r="F7" s="85">
        <f>C7-$E$13</f>
        <v>0</v>
      </c>
      <c r="G7" s="83">
        <f>F7/$E$12</f>
        <v>0</v>
      </c>
    </row>
    <row r="8" spans="2:7" x14ac:dyDescent="0.3">
      <c r="B8" s="84" t="s">
        <v>22</v>
      </c>
      <c r="C8" s="84">
        <v>35000</v>
      </c>
      <c r="D8" s="84">
        <v>10000</v>
      </c>
      <c r="E8" s="85" t="str">
        <f>IMSUB(C8,D8)</f>
        <v>25000</v>
      </c>
      <c r="F8" s="85">
        <f>C8-$E$13</f>
        <v>25000</v>
      </c>
      <c r="G8" s="83">
        <f>F8/$E$12</f>
        <v>500</v>
      </c>
    </row>
    <row r="9" spans="2:7" x14ac:dyDescent="0.3">
      <c r="B9" s="86" t="s">
        <v>82</v>
      </c>
      <c r="C9" s="87">
        <f>SUM(C4:C8)</f>
        <v>87000</v>
      </c>
      <c r="D9" s="87">
        <f>SUM(D4:D8)</f>
        <v>20000</v>
      </c>
      <c r="E9" s="88"/>
      <c r="F9" s="88"/>
    </row>
    <row r="10" spans="2:7" ht="14.4" x14ac:dyDescent="0.3">
      <c r="B10" s="89"/>
      <c r="C10" s="89"/>
      <c r="D10" s="89"/>
      <c r="E10" s="89"/>
      <c r="F10" s="89"/>
    </row>
    <row r="11" spans="2:7" ht="14.4" x14ac:dyDescent="0.3">
      <c r="B11" s="89"/>
      <c r="C11" s="89"/>
      <c r="D11" s="89"/>
      <c r="E11" s="89"/>
      <c r="F11" s="89"/>
    </row>
    <row r="12" spans="2:7" ht="14.4" x14ac:dyDescent="0.3">
      <c r="B12" s="89"/>
      <c r="C12" s="90" t="s">
        <v>148</v>
      </c>
      <c r="D12" s="90"/>
      <c r="E12" s="90">
        <v>50</v>
      </c>
      <c r="F12" s="89"/>
    </row>
    <row r="13" spans="2:7" ht="14.4" x14ac:dyDescent="0.3">
      <c r="B13" s="89"/>
      <c r="C13" s="90" t="s">
        <v>149</v>
      </c>
      <c r="D13" s="90"/>
      <c r="E13" s="90">
        <v>10000</v>
      </c>
      <c r="F13" s="89"/>
    </row>
  </sheetData>
  <pageMargins left="0.25" right="0.25" top="0.75" bottom="0.75" header="0.3" footer="0.3"/>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9228-9AE7-4508-A78C-62305FB6B1B9}">
  <dimension ref="C2:J24"/>
  <sheetViews>
    <sheetView topLeftCell="B1" zoomScaleNormal="100" workbookViewId="0">
      <selection activeCell="C19" sqref="C19"/>
    </sheetView>
  </sheetViews>
  <sheetFormatPr defaultColWidth="8.77734375" defaultRowHeight="15.6" x14ac:dyDescent="0.3"/>
  <cols>
    <col min="1" max="2" width="8.77734375" style="391"/>
    <col min="3" max="3" width="17" style="391" customWidth="1"/>
    <col min="4" max="4" width="14.33203125" style="391" customWidth="1"/>
    <col min="5" max="5" width="23" style="391" customWidth="1"/>
    <col min="6" max="6" width="14.88671875" style="391" customWidth="1"/>
    <col min="7" max="7" width="8.77734375" style="391"/>
    <col min="8" max="8" width="22.21875" style="391" customWidth="1"/>
    <col min="9" max="9" width="26" style="391" customWidth="1"/>
    <col min="10" max="10" width="25.21875" style="391" customWidth="1"/>
    <col min="11" max="11" width="16.21875" style="391" customWidth="1"/>
    <col min="12" max="16384" width="8.77734375" style="391"/>
  </cols>
  <sheetData>
    <row r="2" spans="3:10" ht="18.45" customHeight="1" x14ac:dyDescent="0.3">
      <c r="C2" s="390" t="s">
        <v>18</v>
      </c>
      <c r="D2" s="390" t="s">
        <v>19</v>
      </c>
      <c r="E2" s="390" t="s">
        <v>16</v>
      </c>
      <c r="F2" s="390" t="s">
        <v>17</v>
      </c>
    </row>
    <row r="3" spans="3:10" ht="18" customHeight="1" x14ac:dyDescent="0.3">
      <c r="C3" s="392">
        <v>36531</v>
      </c>
      <c r="D3" s="392" t="s">
        <v>20</v>
      </c>
      <c r="E3" s="393" t="s">
        <v>21</v>
      </c>
      <c r="F3" s="393">
        <v>12000</v>
      </c>
      <c r="H3" s="394" t="s">
        <v>150</v>
      </c>
      <c r="I3" s="394" t="s">
        <v>151</v>
      </c>
      <c r="J3" s="394" t="s">
        <v>152</v>
      </c>
    </row>
    <row r="4" spans="3:10" x14ac:dyDescent="0.3">
      <c r="C4" s="392">
        <v>36542</v>
      </c>
      <c r="D4" s="392" t="s">
        <v>20</v>
      </c>
      <c r="E4" s="393" t="s">
        <v>22</v>
      </c>
      <c r="F4" s="393">
        <v>35700</v>
      </c>
      <c r="H4" s="395">
        <f>SUMIF(D3:D24, "East", F3:F24)</f>
        <v>100540</v>
      </c>
      <c r="I4" s="395">
        <f>AVERAGEIF(D3:D24, "west", F3:F24)</f>
        <v>11450</v>
      </c>
      <c r="J4" s="395" t="str">
        <f>IF(F3&gt;F11, "YES", IF(F14&lt;F15, "True"))</f>
        <v>True</v>
      </c>
    </row>
    <row r="5" spans="3:10" x14ac:dyDescent="0.3">
      <c r="C5" s="392">
        <v>36535</v>
      </c>
      <c r="D5" s="392" t="s">
        <v>20</v>
      </c>
      <c r="E5" s="393" t="s">
        <v>22</v>
      </c>
      <c r="F5" s="393">
        <v>42840</v>
      </c>
      <c r="H5" s="395"/>
      <c r="I5" s="395"/>
      <c r="J5" s="395" t="str">
        <f>IF(F8=F10, "Correct", IF(F20&gt;F6, "Perfect", IF(F13&gt;F17, "YES")))</f>
        <v>YES</v>
      </c>
    </row>
    <row r="6" spans="3:10" x14ac:dyDescent="0.3">
      <c r="C6" s="392">
        <v>36530</v>
      </c>
      <c r="D6" s="392" t="s">
        <v>20</v>
      </c>
      <c r="E6" s="393" t="s">
        <v>23</v>
      </c>
      <c r="F6" s="393">
        <v>10000</v>
      </c>
      <c r="H6" s="395">
        <f>SUMIF(D3:D24, "South", F3:F24)</f>
        <v>133300</v>
      </c>
      <c r="I6" s="396">
        <f>AVERAGEIF(D3:D24, "north", F3:F24)</f>
        <v>21777.142857142859</v>
      </c>
    </row>
    <row r="7" spans="3:10" x14ac:dyDescent="0.3">
      <c r="C7" s="392">
        <v>36533</v>
      </c>
      <c r="D7" s="392" t="s">
        <v>24</v>
      </c>
      <c r="E7" s="393" t="s">
        <v>25</v>
      </c>
      <c r="F7" s="393">
        <v>32640</v>
      </c>
      <c r="H7" s="395"/>
      <c r="I7" s="395"/>
      <c r="J7" s="395" t="b">
        <f>IF(F12&lt;&gt;F10, "NO", IF(F6&lt;&gt;F17, "no", IF(F14&gt;F4, "OOOO", IF(F23&lt;&gt;F4, "YES"))))</f>
        <v>0</v>
      </c>
    </row>
    <row r="8" spans="3:10" ht="14.55" customHeight="1" x14ac:dyDescent="0.3">
      <c r="C8" s="392">
        <v>36526</v>
      </c>
      <c r="D8" s="392" t="s">
        <v>24</v>
      </c>
      <c r="E8" s="393" t="s">
        <v>26</v>
      </c>
      <c r="F8" s="393">
        <v>4000</v>
      </c>
      <c r="H8" s="395">
        <f>SUMIF(E3:E24, "Deodarant", F3:F24)</f>
        <v>16000</v>
      </c>
      <c r="I8" s="395">
        <f>AVERAGEIF(E3:E24, "wrist watch", F3:F24)</f>
        <v>48960</v>
      </c>
      <c r="J8" s="395"/>
    </row>
    <row r="9" spans="3:10" x14ac:dyDescent="0.3">
      <c r="C9" s="392">
        <v>36528</v>
      </c>
      <c r="D9" s="392" t="s">
        <v>24</v>
      </c>
      <c r="E9" s="393" t="s">
        <v>27</v>
      </c>
      <c r="F9" s="393">
        <v>8000</v>
      </c>
      <c r="H9" s="395"/>
      <c r="I9" s="395"/>
      <c r="J9" s="395"/>
    </row>
    <row r="10" spans="3:10" x14ac:dyDescent="0.3">
      <c r="C10" s="392">
        <v>36544</v>
      </c>
      <c r="D10" s="393" t="s">
        <v>24</v>
      </c>
      <c r="E10" s="393" t="s">
        <v>27</v>
      </c>
      <c r="F10" s="393">
        <v>8000</v>
      </c>
      <c r="H10" s="395">
        <f>SUMIF(E3:E24, "beard trimmer",  F3:F24)</f>
        <v>8000</v>
      </c>
      <c r="I10" s="395">
        <f>AVERAGEIF(E3:E24, "Earbuds", F3:F24)</f>
        <v>19350</v>
      </c>
      <c r="J10" s="395"/>
    </row>
    <row r="11" spans="3:10" x14ac:dyDescent="0.3">
      <c r="C11" s="392">
        <v>36541</v>
      </c>
      <c r="D11" s="392" t="s">
        <v>24</v>
      </c>
      <c r="E11" s="393" t="s">
        <v>22</v>
      </c>
      <c r="F11" s="393">
        <v>42840</v>
      </c>
      <c r="H11" s="397"/>
      <c r="I11" s="397"/>
      <c r="J11" s="397"/>
    </row>
    <row r="12" spans="3:10" x14ac:dyDescent="0.3">
      <c r="C12" s="392">
        <v>36545</v>
      </c>
      <c r="D12" s="393" t="s">
        <v>24</v>
      </c>
      <c r="E12" s="393" t="s">
        <v>28</v>
      </c>
      <c r="F12" s="393">
        <v>8000</v>
      </c>
      <c r="H12" s="398"/>
      <c r="I12" s="398"/>
      <c r="J12" s="398"/>
    </row>
    <row r="13" spans="3:10" x14ac:dyDescent="0.3">
      <c r="C13" s="392">
        <v>36534</v>
      </c>
      <c r="D13" s="392" t="s">
        <v>24</v>
      </c>
      <c r="E13" s="393" t="s">
        <v>29</v>
      </c>
      <c r="F13" s="393">
        <v>48960</v>
      </c>
      <c r="H13" s="398"/>
      <c r="I13" s="398"/>
      <c r="J13" s="398"/>
    </row>
    <row r="14" spans="3:10" x14ac:dyDescent="0.3">
      <c r="C14" s="392">
        <v>36539</v>
      </c>
      <c r="D14" s="392" t="s">
        <v>30</v>
      </c>
      <c r="E14" s="393" t="s">
        <v>25</v>
      </c>
      <c r="F14" s="393">
        <v>32640</v>
      </c>
      <c r="H14" s="398"/>
      <c r="I14" s="398"/>
      <c r="J14" s="398"/>
    </row>
    <row r="15" spans="3:10" x14ac:dyDescent="0.3">
      <c r="C15" s="392">
        <v>36538</v>
      </c>
      <c r="D15" s="392" t="s">
        <v>30</v>
      </c>
      <c r="E15" s="393" t="s">
        <v>31</v>
      </c>
      <c r="F15" s="393">
        <v>35700</v>
      </c>
      <c r="H15" s="398"/>
      <c r="I15" s="398"/>
      <c r="J15" s="398"/>
    </row>
    <row r="16" spans="3:10" x14ac:dyDescent="0.3">
      <c r="C16" s="392">
        <v>36537</v>
      </c>
      <c r="D16" s="392" t="s">
        <v>30</v>
      </c>
      <c r="E16" s="393" t="s">
        <v>32</v>
      </c>
      <c r="F16" s="393">
        <v>6000</v>
      </c>
      <c r="H16" s="398"/>
      <c r="I16" s="398"/>
      <c r="J16" s="398"/>
    </row>
    <row r="17" spans="3:10" x14ac:dyDescent="0.3">
      <c r="C17" s="392">
        <v>36546</v>
      </c>
      <c r="D17" s="393" t="s">
        <v>30</v>
      </c>
      <c r="E17" s="393" t="s">
        <v>23</v>
      </c>
      <c r="F17" s="393">
        <v>10000</v>
      </c>
      <c r="H17" s="398"/>
      <c r="I17" s="398"/>
      <c r="J17" s="398"/>
    </row>
    <row r="18" spans="3:10" x14ac:dyDescent="0.3">
      <c r="C18" s="392">
        <v>36540</v>
      </c>
      <c r="D18" s="392" t="s">
        <v>30</v>
      </c>
      <c r="E18" s="393" t="s">
        <v>29</v>
      </c>
      <c r="F18" s="393">
        <v>48960</v>
      </c>
      <c r="H18" s="398"/>
      <c r="I18" s="398"/>
      <c r="J18" s="398"/>
    </row>
    <row r="19" spans="3:10" x14ac:dyDescent="0.3">
      <c r="C19" s="392">
        <v>36536</v>
      </c>
      <c r="D19" s="392" t="s">
        <v>33</v>
      </c>
      <c r="E19" s="393" t="s">
        <v>26</v>
      </c>
      <c r="F19" s="393">
        <v>4000</v>
      </c>
      <c r="H19" s="398"/>
      <c r="I19" s="398"/>
      <c r="J19" s="398"/>
    </row>
    <row r="20" spans="3:10" x14ac:dyDescent="0.3">
      <c r="C20" s="392">
        <v>36532</v>
      </c>
      <c r="D20" s="392" t="s">
        <v>33</v>
      </c>
      <c r="E20" s="393" t="s">
        <v>31</v>
      </c>
      <c r="F20" s="393">
        <v>3000</v>
      </c>
      <c r="H20" s="398"/>
      <c r="I20" s="398"/>
      <c r="J20" s="398"/>
    </row>
    <row r="21" spans="3:10" x14ac:dyDescent="0.3">
      <c r="C21" s="392">
        <v>36527</v>
      </c>
      <c r="D21" s="392" t="s">
        <v>33</v>
      </c>
      <c r="E21" s="393" t="s">
        <v>34</v>
      </c>
      <c r="F21" s="393">
        <v>9000</v>
      </c>
    </row>
    <row r="22" spans="3:10" x14ac:dyDescent="0.3">
      <c r="C22" s="392">
        <v>36543</v>
      </c>
      <c r="D22" s="392" t="s">
        <v>33</v>
      </c>
      <c r="E22" s="393" t="s">
        <v>34</v>
      </c>
      <c r="F22" s="393">
        <v>9000</v>
      </c>
    </row>
    <row r="23" spans="3:10" x14ac:dyDescent="0.3">
      <c r="C23" s="392">
        <v>36547</v>
      </c>
      <c r="D23" s="393" t="s">
        <v>33</v>
      </c>
      <c r="E23" s="393" t="s">
        <v>22</v>
      </c>
      <c r="F23" s="393">
        <v>35700</v>
      </c>
    </row>
    <row r="24" spans="3:10" x14ac:dyDescent="0.3">
      <c r="C24" s="392">
        <v>36529</v>
      </c>
      <c r="D24" s="392" t="s">
        <v>33</v>
      </c>
      <c r="E24" s="393" t="s">
        <v>28</v>
      </c>
      <c r="F24" s="393">
        <v>8000</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3A7CD-BECC-4AF1-A257-913F9517F5E2}">
  <dimension ref="B2:J28"/>
  <sheetViews>
    <sheetView workbookViewId="0">
      <selection activeCell="C19" sqref="C19"/>
    </sheetView>
  </sheetViews>
  <sheetFormatPr defaultColWidth="8.77734375" defaultRowHeight="14.4" x14ac:dyDescent="0.3"/>
  <cols>
    <col min="1" max="1" width="14.33203125" style="400" customWidth="1"/>
    <col min="2" max="2" width="14.5546875" style="400" customWidth="1"/>
    <col min="3" max="3" width="12.88671875" style="400" customWidth="1"/>
    <col min="4" max="4" width="19.77734375" style="400" customWidth="1"/>
    <col min="5" max="5" width="12.21875" style="400" customWidth="1"/>
    <col min="6" max="6" width="11.77734375" style="400" customWidth="1"/>
    <col min="7" max="7" width="18.6640625" style="400" customWidth="1"/>
    <col min="8" max="8" width="16.77734375" style="400" customWidth="1"/>
    <col min="9" max="10" width="17.77734375" style="400" customWidth="1"/>
    <col min="11" max="11" width="13.44140625" style="400" customWidth="1"/>
    <col min="12" max="12" width="8.77734375" style="400"/>
    <col min="13" max="13" width="10.5546875" style="400" customWidth="1"/>
    <col min="14" max="16384" width="8.77734375" style="400"/>
  </cols>
  <sheetData>
    <row r="2" spans="2:10" ht="19.05" customHeight="1" x14ac:dyDescent="0.3">
      <c r="B2" s="399" t="s">
        <v>18</v>
      </c>
      <c r="C2" s="399" t="s">
        <v>19</v>
      </c>
      <c r="D2" s="399" t="s">
        <v>16</v>
      </c>
      <c r="E2" s="399" t="s">
        <v>17</v>
      </c>
      <c r="H2" s="401" t="s">
        <v>19</v>
      </c>
      <c r="I2" s="401" t="s">
        <v>16</v>
      </c>
      <c r="J2" s="401" t="s">
        <v>17</v>
      </c>
    </row>
    <row r="3" spans="2:10" x14ac:dyDescent="0.3">
      <c r="B3" s="2">
        <v>36531</v>
      </c>
      <c r="C3" s="2" t="s">
        <v>20</v>
      </c>
      <c r="D3" s="3" t="s">
        <v>21</v>
      </c>
      <c r="E3" s="3">
        <v>12000</v>
      </c>
      <c r="H3" s="402" t="s">
        <v>30</v>
      </c>
      <c r="I3" s="402" t="s">
        <v>23</v>
      </c>
      <c r="J3" s="402" t="s">
        <v>534</v>
      </c>
    </row>
    <row r="4" spans="2:10" x14ac:dyDescent="0.3">
      <c r="B4" s="2">
        <v>36542</v>
      </c>
      <c r="C4" s="2" t="s">
        <v>20</v>
      </c>
      <c r="D4" s="3" t="s">
        <v>22</v>
      </c>
      <c r="E4" s="3">
        <v>35700</v>
      </c>
      <c r="H4" s="402" t="s">
        <v>24</v>
      </c>
      <c r="I4" s="402" t="s">
        <v>26</v>
      </c>
      <c r="J4" s="402" t="s">
        <v>153</v>
      </c>
    </row>
    <row r="5" spans="2:10" x14ac:dyDescent="0.3">
      <c r="B5" s="2">
        <v>36535</v>
      </c>
      <c r="C5" s="2" t="s">
        <v>20</v>
      </c>
      <c r="D5" s="3" t="s">
        <v>22</v>
      </c>
      <c r="E5" s="3">
        <v>42840</v>
      </c>
      <c r="H5" s="402" t="s">
        <v>20</v>
      </c>
      <c r="I5" s="402" t="s">
        <v>22</v>
      </c>
      <c r="J5" s="402" t="s">
        <v>154</v>
      </c>
    </row>
    <row r="6" spans="2:10" x14ac:dyDescent="0.3">
      <c r="B6" s="2">
        <v>36536</v>
      </c>
      <c r="C6" s="2" t="s">
        <v>20</v>
      </c>
      <c r="D6" s="3" t="s">
        <v>22</v>
      </c>
      <c r="E6" s="3">
        <v>50000</v>
      </c>
    </row>
    <row r="7" spans="2:10" x14ac:dyDescent="0.3">
      <c r="B7" s="2">
        <v>36530</v>
      </c>
      <c r="C7" s="2" t="s">
        <v>20</v>
      </c>
      <c r="D7" s="3" t="s">
        <v>23</v>
      </c>
      <c r="E7" s="3">
        <v>10000</v>
      </c>
    </row>
    <row r="8" spans="2:10" x14ac:dyDescent="0.3">
      <c r="B8" s="2">
        <v>36531</v>
      </c>
      <c r="C8" s="2" t="s">
        <v>20</v>
      </c>
      <c r="D8" s="3" t="s">
        <v>23</v>
      </c>
      <c r="E8" s="3">
        <v>30000</v>
      </c>
    </row>
    <row r="9" spans="2:10" x14ac:dyDescent="0.3">
      <c r="B9" s="2">
        <v>36533</v>
      </c>
      <c r="C9" s="2" t="s">
        <v>24</v>
      </c>
      <c r="D9" s="3" t="s">
        <v>25</v>
      </c>
      <c r="E9" s="3">
        <v>30640</v>
      </c>
    </row>
    <row r="10" spans="2:10" ht="15.6" x14ac:dyDescent="0.3">
      <c r="B10" s="2">
        <v>36526</v>
      </c>
      <c r="C10" s="2" t="s">
        <v>24</v>
      </c>
      <c r="D10" s="3" t="s">
        <v>26</v>
      </c>
      <c r="E10" s="3">
        <v>4000</v>
      </c>
      <c r="G10" s="403" t="s">
        <v>155</v>
      </c>
      <c r="H10" s="403" t="s">
        <v>156</v>
      </c>
      <c r="I10" s="403" t="s">
        <v>157</v>
      </c>
      <c r="J10" s="403" t="s">
        <v>158</v>
      </c>
    </row>
    <row r="11" spans="2:10" ht="15.6" x14ac:dyDescent="0.3">
      <c r="B11" s="2">
        <v>36528</v>
      </c>
      <c r="C11" s="2" t="s">
        <v>24</v>
      </c>
      <c r="D11" s="3" t="s">
        <v>27</v>
      </c>
      <c r="E11" s="3">
        <v>8000</v>
      </c>
      <c r="G11" s="404">
        <f>SUMIFS(E3:E28, C3:C28, "East", D3:D28, "Mobile")</f>
        <v>128540</v>
      </c>
      <c r="H11" s="404">
        <f>AVERAGEIFS(E3:E28, C3:C28, "East", D3:D28, "Mobile")</f>
        <v>42846.666666666664</v>
      </c>
      <c r="I11" s="404">
        <f>_xlfn.MINIFS(E3:E28, C3:C28, "East", D3:D28, "Mobile")</f>
        <v>35700</v>
      </c>
      <c r="J11" s="404">
        <f>_xlfn.MAXIFS(E3:E28, C3:C28, "East", D3:D28, "Mobile")</f>
        <v>50000</v>
      </c>
    </row>
    <row r="12" spans="2:10" ht="15.6" x14ac:dyDescent="0.3">
      <c r="B12" s="2">
        <v>36544</v>
      </c>
      <c r="C12" s="3" t="s">
        <v>24</v>
      </c>
      <c r="D12" s="3" t="s">
        <v>27</v>
      </c>
      <c r="E12" s="3">
        <v>10000</v>
      </c>
      <c r="G12" s="404"/>
      <c r="H12" s="404"/>
      <c r="I12" s="404"/>
      <c r="J12" s="404"/>
    </row>
    <row r="13" spans="2:10" ht="15.6" x14ac:dyDescent="0.3">
      <c r="B13" s="2">
        <v>36541</v>
      </c>
      <c r="C13" s="2" t="s">
        <v>24</v>
      </c>
      <c r="D13" s="3" t="s">
        <v>22</v>
      </c>
      <c r="E13" s="3">
        <v>42840</v>
      </c>
      <c r="G13" s="404">
        <f>SUMIFS(E3:E28, C3:C28, "South", D3:D28, "Bass headphones")</f>
        <v>74640</v>
      </c>
      <c r="H13" s="404">
        <f>AVERAGEIFS(E3:E28, C3:C28, "North", D3:D28, "Deodarant")</f>
        <v>9000</v>
      </c>
      <c r="I13" s="404">
        <f>_xlfn.MINIFS(E3:E28, C3:C28, "North", D3:D28, "Bass headphones")</f>
        <v>30640</v>
      </c>
      <c r="J13" s="404">
        <f>_xlfn.MAXIFS(E3:E28, C3:C28, "West", D3:D28, "hair dryer", E3:E28, "&gt;10000")</f>
        <v>11000</v>
      </c>
    </row>
    <row r="14" spans="2:10" ht="15.6" x14ac:dyDescent="0.3">
      <c r="B14" s="2">
        <v>36545</v>
      </c>
      <c r="C14" s="3" t="s">
        <v>24</v>
      </c>
      <c r="D14" s="3" t="s">
        <v>28</v>
      </c>
      <c r="E14" s="3">
        <v>8000</v>
      </c>
      <c r="G14" s="404"/>
      <c r="H14" s="404"/>
      <c r="I14" s="404"/>
      <c r="J14" s="404"/>
    </row>
    <row r="15" spans="2:10" ht="15.6" x14ac:dyDescent="0.3">
      <c r="B15" s="2">
        <v>36534</v>
      </c>
      <c r="C15" s="2" t="s">
        <v>24</v>
      </c>
      <c r="D15" s="3" t="s">
        <v>29</v>
      </c>
      <c r="E15" s="3">
        <v>48960</v>
      </c>
      <c r="G15" s="404">
        <f>SUMIFS(E3:E28, C3:C28, "West", D3:D28, "Hair dryer", E3:E28, "&gt;5000")</f>
        <v>27000</v>
      </c>
      <c r="H15" s="404">
        <f>AVERAGEIFS(E3:E28, C3:C28, "West", D3:D28, "Hair dryer", E3:E28, "&gt;5000")</f>
        <v>9000</v>
      </c>
      <c r="I15" s="404">
        <f>_xlfn.MINIFS(E3:E28, C3:C28, "South", D3:D28, "Bass headphones", E3:E28, "&gt;=30000")</f>
        <v>32640</v>
      </c>
      <c r="J15" s="404"/>
    </row>
    <row r="16" spans="2:10" ht="15.6" x14ac:dyDescent="0.3">
      <c r="B16" s="2">
        <v>36539</v>
      </c>
      <c r="C16" s="2" t="s">
        <v>30</v>
      </c>
      <c r="D16" s="3" t="s">
        <v>25</v>
      </c>
      <c r="E16" s="3">
        <v>32640</v>
      </c>
      <c r="G16" s="404"/>
      <c r="H16" s="404"/>
      <c r="I16" s="404"/>
      <c r="J16" s="404"/>
    </row>
    <row r="17" spans="2:10" ht="15.6" x14ac:dyDescent="0.3">
      <c r="B17" s="2">
        <v>36540</v>
      </c>
      <c r="C17" s="2" t="s">
        <v>30</v>
      </c>
      <c r="D17" s="3" t="s">
        <v>25</v>
      </c>
      <c r="E17" s="3">
        <v>42000</v>
      </c>
      <c r="G17" s="405"/>
      <c r="H17" s="405"/>
      <c r="I17" s="405"/>
      <c r="J17" s="405"/>
    </row>
    <row r="18" spans="2:10" ht="15.6" x14ac:dyDescent="0.3">
      <c r="B18" s="2">
        <v>36538</v>
      </c>
      <c r="C18" s="2" t="s">
        <v>30</v>
      </c>
      <c r="D18" s="3" t="s">
        <v>31</v>
      </c>
      <c r="E18" s="3">
        <v>35700</v>
      </c>
      <c r="G18" s="406"/>
    </row>
    <row r="19" spans="2:10" ht="15.6" x14ac:dyDescent="0.3">
      <c r="B19" s="2">
        <v>36537</v>
      </c>
      <c r="C19" s="2" t="s">
        <v>30</v>
      </c>
      <c r="D19" s="3" t="s">
        <v>32</v>
      </c>
      <c r="E19" s="3">
        <v>6000</v>
      </c>
      <c r="G19" s="406"/>
    </row>
    <row r="20" spans="2:10" x14ac:dyDescent="0.3">
      <c r="B20" s="2">
        <v>36546</v>
      </c>
      <c r="C20" s="3" t="s">
        <v>30</v>
      </c>
      <c r="D20" s="3" t="s">
        <v>23</v>
      </c>
      <c r="E20" s="3">
        <v>10000</v>
      </c>
    </row>
    <row r="21" spans="2:10" x14ac:dyDescent="0.3">
      <c r="B21" s="2">
        <v>36540</v>
      </c>
      <c r="C21" s="2" t="s">
        <v>30</v>
      </c>
      <c r="D21" s="3" t="s">
        <v>29</v>
      </c>
      <c r="E21" s="3">
        <v>48960</v>
      </c>
    </row>
    <row r="22" spans="2:10" x14ac:dyDescent="0.3">
      <c r="B22" s="2">
        <v>36536</v>
      </c>
      <c r="C22" s="2" t="s">
        <v>33</v>
      </c>
      <c r="D22" s="3" t="s">
        <v>26</v>
      </c>
      <c r="E22" s="3">
        <v>4000</v>
      </c>
    </row>
    <row r="23" spans="2:10" x14ac:dyDescent="0.3">
      <c r="B23" s="2">
        <v>36532</v>
      </c>
      <c r="C23" s="2" t="s">
        <v>33</v>
      </c>
      <c r="D23" s="3" t="s">
        <v>31</v>
      </c>
      <c r="E23" s="3">
        <v>35700</v>
      </c>
    </row>
    <row r="24" spans="2:10" x14ac:dyDescent="0.3">
      <c r="B24" s="2">
        <v>36527</v>
      </c>
      <c r="C24" s="2" t="s">
        <v>33</v>
      </c>
      <c r="D24" s="3" t="s">
        <v>34</v>
      </c>
      <c r="E24" s="3">
        <v>7000</v>
      </c>
    </row>
    <row r="25" spans="2:10" x14ac:dyDescent="0.3">
      <c r="B25" s="2">
        <v>36543</v>
      </c>
      <c r="C25" s="2" t="s">
        <v>33</v>
      </c>
      <c r="D25" s="3" t="s">
        <v>34</v>
      </c>
      <c r="E25" s="3">
        <v>9000</v>
      </c>
    </row>
    <row r="26" spans="2:10" x14ac:dyDescent="0.3">
      <c r="B26" s="2">
        <v>36544</v>
      </c>
      <c r="C26" s="2" t="s">
        <v>33</v>
      </c>
      <c r="D26" s="3" t="s">
        <v>34</v>
      </c>
      <c r="E26" s="3">
        <v>11000</v>
      </c>
    </row>
    <row r="27" spans="2:10" x14ac:dyDescent="0.3">
      <c r="B27" s="2">
        <v>36547</v>
      </c>
      <c r="C27" s="3" t="s">
        <v>33</v>
      </c>
      <c r="D27" s="3" t="s">
        <v>22</v>
      </c>
      <c r="E27" s="3">
        <v>35700</v>
      </c>
    </row>
    <row r="28" spans="2:10" x14ac:dyDescent="0.3">
      <c r="B28" s="2">
        <v>36529</v>
      </c>
      <c r="C28" s="2" t="s">
        <v>33</v>
      </c>
      <c r="D28" s="3" t="s">
        <v>28</v>
      </c>
      <c r="E28" s="3">
        <v>8000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1186A-5E1A-4AD1-9939-3BB4A8946901}">
  <dimension ref="B1:L43"/>
  <sheetViews>
    <sheetView zoomScale="85" zoomScaleNormal="85" workbookViewId="0">
      <selection activeCell="C19" sqref="C19"/>
    </sheetView>
  </sheetViews>
  <sheetFormatPr defaultColWidth="14.21875" defaultRowHeight="15.45" customHeight="1" x14ac:dyDescent="0.25"/>
  <cols>
    <col min="1" max="1" width="8.21875" style="407" customWidth="1"/>
    <col min="2" max="2" width="16.44140625" style="407" customWidth="1"/>
    <col min="3" max="3" width="16.5546875" style="407" customWidth="1"/>
    <col min="4" max="4" width="20.6640625" style="407" customWidth="1"/>
    <col min="5" max="5" width="14.44140625" style="407" customWidth="1"/>
    <col min="6" max="6" width="9.44140625" style="407" customWidth="1"/>
    <col min="7" max="8" width="14.21875" style="407" customWidth="1"/>
    <col min="9" max="9" width="21.44140625" style="407" customWidth="1"/>
    <col min="10" max="10" width="16.21875" style="407" customWidth="1"/>
    <col min="11" max="11" width="14.109375" style="407" customWidth="1"/>
    <col min="12" max="12" width="12" style="407" customWidth="1"/>
    <col min="13" max="13" width="12.88671875" style="407" customWidth="1"/>
    <col min="14" max="14" width="12.33203125" style="407" customWidth="1"/>
    <col min="15" max="15" width="15.33203125" style="407" customWidth="1"/>
    <col min="16" max="16384" width="14.21875" style="407"/>
  </cols>
  <sheetData>
    <row r="1" spans="2:12" ht="18.45" customHeight="1" x14ac:dyDescent="0.3">
      <c r="B1" s="446" t="s">
        <v>18</v>
      </c>
      <c r="C1" s="446" t="s">
        <v>19</v>
      </c>
      <c r="D1" s="446" t="s">
        <v>16</v>
      </c>
      <c r="E1" s="446" t="s">
        <v>17</v>
      </c>
      <c r="F1" s="447"/>
      <c r="H1" s="443" t="s">
        <v>19</v>
      </c>
      <c r="I1" s="443" t="s">
        <v>16</v>
      </c>
      <c r="J1" s="443" t="s">
        <v>17</v>
      </c>
    </row>
    <row r="2" spans="2:12" ht="15.45" customHeight="1" x14ac:dyDescent="0.3">
      <c r="B2" s="408">
        <v>36533</v>
      </c>
      <c r="C2" s="408" t="s">
        <v>20</v>
      </c>
      <c r="D2" s="409" t="s">
        <v>25</v>
      </c>
      <c r="E2" s="409">
        <v>2000</v>
      </c>
      <c r="F2" s="410"/>
      <c r="H2" s="444" t="s">
        <v>30</v>
      </c>
      <c r="I2" s="444" t="s">
        <v>25</v>
      </c>
      <c r="J2" s="444" t="s">
        <v>534</v>
      </c>
    </row>
    <row r="3" spans="2:12" ht="15.45" customHeight="1" x14ac:dyDescent="0.3">
      <c r="B3" s="408">
        <v>36531</v>
      </c>
      <c r="C3" s="408" t="s">
        <v>20</v>
      </c>
      <c r="D3" s="409" t="s">
        <v>21</v>
      </c>
      <c r="E3" s="409">
        <v>4000</v>
      </c>
      <c r="F3" s="410"/>
      <c r="H3" s="445"/>
      <c r="I3" s="445"/>
      <c r="J3" s="445"/>
    </row>
    <row r="4" spans="2:12" ht="15.45" customHeight="1" x14ac:dyDescent="0.3">
      <c r="B4" s="408">
        <v>36542</v>
      </c>
      <c r="C4" s="408" t="s">
        <v>20</v>
      </c>
      <c r="D4" s="409" t="s">
        <v>22</v>
      </c>
      <c r="E4" s="409">
        <v>6000</v>
      </c>
      <c r="F4" s="410"/>
      <c r="H4" s="443" t="s">
        <v>19</v>
      </c>
      <c r="I4" s="443" t="s">
        <v>16</v>
      </c>
      <c r="J4" s="443" t="s">
        <v>17</v>
      </c>
    </row>
    <row r="5" spans="2:12" ht="15.45" customHeight="1" x14ac:dyDescent="0.3">
      <c r="B5" s="408">
        <v>36535</v>
      </c>
      <c r="C5" s="408" t="s">
        <v>20</v>
      </c>
      <c r="D5" s="409" t="s">
        <v>22</v>
      </c>
      <c r="E5" s="409">
        <v>8000</v>
      </c>
      <c r="F5" s="410"/>
      <c r="H5" s="444" t="s">
        <v>33</v>
      </c>
      <c r="I5" s="444" t="s">
        <v>26</v>
      </c>
      <c r="J5" s="444" t="s">
        <v>153</v>
      </c>
    </row>
    <row r="6" spans="2:12" ht="15.45" customHeight="1" x14ac:dyDescent="0.3">
      <c r="B6" s="408">
        <v>36530</v>
      </c>
      <c r="C6" s="408" t="s">
        <v>20</v>
      </c>
      <c r="D6" s="409" t="s">
        <v>23</v>
      </c>
      <c r="E6" s="409">
        <v>10000</v>
      </c>
      <c r="F6" s="410"/>
      <c r="H6" s="445"/>
      <c r="I6" s="445"/>
      <c r="J6" s="445"/>
    </row>
    <row r="7" spans="2:12" ht="15.45" customHeight="1" x14ac:dyDescent="0.3">
      <c r="B7" s="408">
        <v>36531</v>
      </c>
      <c r="C7" s="408" t="s">
        <v>20</v>
      </c>
      <c r="D7" s="409" t="s">
        <v>23</v>
      </c>
      <c r="E7" s="409">
        <v>12000</v>
      </c>
      <c r="F7" s="410"/>
      <c r="H7" s="443" t="s">
        <v>16</v>
      </c>
      <c r="I7" s="443" t="s">
        <v>19</v>
      </c>
      <c r="J7" s="443" t="s">
        <v>17</v>
      </c>
    </row>
    <row r="8" spans="2:12" ht="15.45" customHeight="1" x14ac:dyDescent="0.3">
      <c r="B8" s="408">
        <v>36526</v>
      </c>
      <c r="C8" s="408" t="s">
        <v>24</v>
      </c>
      <c r="D8" s="409" t="s">
        <v>26</v>
      </c>
      <c r="E8" s="409">
        <v>14000</v>
      </c>
      <c r="F8" s="410"/>
      <c r="H8" s="444" t="s">
        <v>22</v>
      </c>
      <c r="I8" s="444" t="s">
        <v>20</v>
      </c>
      <c r="J8" s="444" t="s">
        <v>538</v>
      </c>
    </row>
    <row r="9" spans="2:12" ht="15.45" customHeight="1" x14ac:dyDescent="0.25">
      <c r="B9" s="408">
        <v>36528</v>
      </c>
      <c r="C9" s="408" t="s">
        <v>24</v>
      </c>
      <c r="D9" s="409" t="s">
        <v>26</v>
      </c>
      <c r="E9" s="409">
        <v>16000</v>
      </c>
      <c r="F9" s="410"/>
    </row>
    <row r="10" spans="2:12" ht="15.45" customHeight="1" x14ac:dyDescent="0.25">
      <c r="B10" s="408">
        <v>36530</v>
      </c>
      <c r="C10" s="408" t="s">
        <v>24</v>
      </c>
      <c r="D10" s="409" t="s">
        <v>26</v>
      </c>
      <c r="E10" s="409">
        <v>18000</v>
      </c>
      <c r="F10" s="410"/>
    </row>
    <row r="11" spans="2:12" ht="15.45" customHeight="1" x14ac:dyDescent="0.25">
      <c r="B11" s="408">
        <v>36544</v>
      </c>
      <c r="C11" s="409" t="s">
        <v>24</v>
      </c>
      <c r="D11" s="409" t="s">
        <v>27</v>
      </c>
      <c r="E11" s="409">
        <v>18000</v>
      </c>
      <c r="F11" s="412"/>
    </row>
    <row r="12" spans="2:12" ht="15.45" customHeight="1" x14ac:dyDescent="0.3">
      <c r="B12" s="408">
        <v>36545</v>
      </c>
      <c r="C12" s="409" t="s">
        <v>24</v>
      </c>
      <c r="D12" s="409" t="s">
        <v>28</v>
      </c>
      <c r="E12" s="409">
        <v>20000</v>
      </c>
      <c r="F12" s="412"/>
      <c r="G12" s="413" t="s">
        <v>160</v>
      </c>
      <c r="H12" s="414" t="s">
        <v>161</v>
      </c>
      <c r="I12" s="414" t="s">
        <v>162</v>
      </c>
      <c r="J12" s="415" t="s">
        <v>163</v>
      </c>
      <c r="K12" s="416" t="s">
        <v>164</v>
      </c>
    </row>
    <row r="13" spans="2:12" ht="15.45" customHeight="1" x14ac:dyDescent="0.25">
      <c r="B13" s="408">
        <v>36534</v>
      </c>
      <c r="C13" s="408" t="s">
        <v>24</v>
      </c>
      <c r="D13" s="409" t="s">
        <v>29</v>
      </c>
      <c r="E13" s="409">
        <v>22000</v>
      </c>
      <c r="F13" s="412"/>
      <c r="G13" s="417">
        <f>SUMIFS(E2:E28, C2:C28, "South", D2:D28, "Bass headphones", E2:E28, "&gt;20000")</f>
        <v>70000</v>
      </c>
      <c r="H13" s="418">
        <f>DSUM(B1:E28, E1, H1:J2)</f>
        <v>70000</v>
      </c>
      <c r="I13" s="411">
        <f>DAVERAGE(B1:E28, E1, H1:J2)</f>
        <v>35000</v>
      </c>
      <c r="J13" s="411">
        <f>DMIN(B1:E28, E1, H1:J2)</f>
        <v>30000</v>
      </c>
      <c r="K13" s="419">
        <f>DMAX(B1:E28, E1, H1:J2)</f>
        <v>40000</v>
      </c>
      <c r="L13" s="420"/>
    </row>
    <row r="14" spans="2:12" ht="15.45" customHeight="1" x14ac:dyDescent="0.25">
      <c r="B14" s="408">
        <v>36535</v>
      </c>
      <c r="C14" s="408" t="s">
        <v>24</v>
      </c>
      <c r="D14" s="409" t="s">
        <v>29</v>
      </c>
      <c r="E14" s="409">
        <v>25000</v>
      </c>
      <c r="F14" s="412"/>
      <c r="G14" s="417"/>
      <c r="H14" s="418"/>
      <c r="I14" s="411"/>
      <c r="J14" s="411"/>
      <c r="K14" s="419"/>
      <c r="L14" s="420"/>
    </row>
    <row r="15" spans="2:12" ht="15.45" customHeight="1" x14ac:dyDescent="0.25">
      <c r="B15" s="408">
        <v>36539</v>
      </c>
      <c r="C15" s="408" t="s">
        <v>30</v>
      </c>
      <c r="D15" s="409" t="s">
        <v>25</v>
      </c>
      <c r="E15" s="409" t="s">
        <v>536</v>
      </c>
      <c r="F15" s="412"/>
      <c r="G15" s="417"/>
      <c r="H15" s="418">
        <f>DSUM(B1:E28, E1, H4:J5)</f>
        <v>107000</v>
      </c>
      <c r="I15" s="411">
        <f>DAVERAGE(B1:E28, E1, H4:J5)</f>
        <v>53500</v>
      </c>
      <c r="J15" s="411">
        <f>DMIN(B1:E28, E1, H4:J5)</f>
        <v>50000</v>
      </c>
      <c r="K15" s="419">
        <f>DMAX(B1:E28, E1, H4:J5)</f>
        <v>57000</v>
      </c>
      <c r="L15" s="420"/>
    </row>
    <row r="16" spans="2:12" ht="15.45" customHeight="1" x14ac:dyDescent="0.25">
      <c r="B16" s="408">
        <v>36540</v>
      </c>
      <c r="C16" s="408" t="s">
        <v>30</v>
      </c>
      <c r="D16" s="409" t="s">
        <v>25</v>
      </c>
      <c r="E16" s="409">
        <v>30000</v>
      </c>
      <c r="F16" s="412"/>
      <c r="G16" s="421"/>
      <c r="H16" s="422"/>
      <c r="I16" s="423"/>
      <c r="J16" s="423"/>
      <c r="K16" s="424"/>
      <c r="L16" s="420"/>
    </row>
    <row r="17" spans="2:12" ht="15.45" customHeight="1" x14ac:dyDescent="0.25">
      <c r="B17" s="408">
        <v>36540</v>
      </c>
      <c r="C17" s="408" t="s">
        <v>30</v>
      </c>
      <c r="D17" s="409" t="s">
        <v>25</v>
      </c>
      <c r="E17" s="409">
        <v>40000</v>
      </c>
      <c r="F17" s="412"/>
      <c r="G17" s="425"/>
      <c r="H17" s="425">
        <f>DSUM(B1:E29, E1, H7:J8)</f>
        <v>14000</v>
      </c>
      <c r="I17" s="425">
        <f>DAVERAGE(B1:E28, E1, H7:J8)</f>
        <v>7000</v>
      </c>
      <c r="J17" s="425">
        <f>DMIN(B1:E28, E1, H7:J8)</f>
        <v>6000</v>
      </c>
      <c r="K17" s="425">
        <f>DMAX(B1:E28, E1, H7:J8)</f>
        <v>8000</v>
      </c>
      <c r="L17" s="420"/>
    </row>
    <row r="18" spans="2:12" ht="15.45" customHeight="1" x14ac:dyDescent="0.25">
      <c r="B18" s="408">
        <v>36540</v>
      </c>
      <c r="C18" s="408" t="s">
        <v>30</v>
      </c>
      <c r="D18" s="409" t="s">
        <v>25</v>
      </c>
      <c r="E18" s="409">
        <v>15000</v>
      </c>
      <c r="F18" s="410"/>
    </row>
    <row r="19" spans="2:12" ht="15.45" customHeight="1" x14ac:dyDescent="0.25">
      <c r="B19" s="408">
        <v>36538</v>
      </c>
      <c r="C19" s="408" t="s">
        <v>30</v>
      </c>
      <c r="D19" s="409" t="s">
        <v>31</v>
      </c>
      <c r="E19" s="409">
        <v>30000</v>
      </c>
      <c r="F19" s="410"/>
    </row>
    <row r="20" spans="2:12" ht="15.45" customHeight="1" x14ac:dyDescent="0.3">
      <c r="B20" s="408">
        <v>36537</v>
      </c>
      <c r="C20" s="408" t="s">
        <v>30</v>
      </c>
      <c r="D20" s="409" t="s">
        <v>32</v>
      </c>
      <c r="E20" s="409">
        <v>32000</v>
      </c>
      <c r="F20" s="410"/>
      <c r="H20" s="416" t="s">
        <v>166</v>
      </c>
      <c r="I20" s="416" t="s">
        <v>167</v>
      </c>
      <c r="J20" s="416" t="s">
        <v>168</v>
      </c>
    </row>
    <row r="21" spans="2:12" ht="15.45" customHeight="1" x14ac:dyDescent="0.25">
      <c r="B21" s="408">
        <v>36538</v>
      </c>
      <c r="C21" s="408" t="s">
        <v>30</v>
      </c>
      <c r="D21" s="409" t="s">
        <v>32</v>
      </c>
      <c r="E21" s="409">
        <v>34000</v>
      </c>
      <c r="F21" s="410"/>
      <c r="H21" s="425">
        <f>DCOUNT(B1:E28, E1,H1:J2)</f>
        <v>2</v>
      </c>
      <c r="I21" s="425">
        <f>DCOUNTA(B1:E28, E1, H1:I2)</f>
        <v>4</v>
      </c>
      <c r="J21" s="425">
        <f>DPRODUCT(B1:E28, E1, H1:J2)</f>
        <v>1200000000</v>
      </c>
    </row>
    <row r="22" spans="2:12" ht="15.45" customHeight="1" x14ac:dyDescent="0.25">
      <c r="B22" s="408">
        <v>36536</v>
      </c>
      <c r="C22" s="408" t="s">
        <v>33</v>
      </c>
      <c r="D22" s="409" t="s">
        <v>26</v>
      </c>
      <c r="E22" s="409">
        <v>36000</v>
      </c>
      <c r="F22" s="410"/>
      <c r="H22" s="425"/>
      <c r="I22" s="425"/>
      <c r="J22" s="425"/>
    </row>
    <row r="23" spans="2:12" ht="15.45" customHeight="1" x14ac:dyDescent="0.25">
      <c r="B23" s="408">
        <v>36537</v>
      </c>
      <c r="C23" s="408" t="s">
        <v>33</v>
      </c>
      <c r="D23" s="409" t="s">
        <v>26</v>
      </c>
      <c r="E23" s="409" t="s">
        <v>535</v>
      </c>
      <c r="F23" s="410"/>
      <c r="H23" s="425">
        <f>DCOUNT(B1:E28, E1, H4:I5)</f>
        <v>3</v>
      </c>
      <c r="I23" s="425">
        <f>DCOUNTA(B1:E28, E1, H4:I5)</f>
        <v>4</v>
      </c>
      <c r="J23" s="426">
        <f>DPRODUCT(B1:E28, E1, H4:J5)</f>
        <v>2850000000</v>
      </c>
      <c r="K23" s="420"/>
    </row>
    <row r="24" spans="2:12" ht="15.45" customHeight="1" x14ac:dyDescent="0.25">
      <c r="B24" s="408">
        <v>36537</v>
      </c>
      <c r="C24" s="408" t="s">
        <v>33</v>
      </c>
      <c r="D24" s="409" t="s">
        <v>26</v>
      </c>
      <c r="E24" s="409">
        <v>50000</v>
      </c>
      <c r="F24" s="410"/>
      <c r="H24" s="425"/>
      <c r="I24" s="425"/>
      <c r="J24" s="426"/>
      <c r="K24" s="420"/>
    </row>
    <row r="25" spans="2:12" ht="15.45" customHeight="1" x14ac:dyDescent="0.25">
      <c r="B25" s="408">
        <v>36538</v>
      </c>
      <c r="C25" s="408" t="s">
        <v>33</v>
      </c>
      <c r="D25" s="409" t="s">
        <v>26</v>
      </c>
      <c r="E25" s="409">
        <v>57000</v>
      </c>
      <c r="F25" s="410"/>
      <c r="H25" s="425">
        <f>DCOUNT(B1:E28, E1, H7:I8)</f>
        <v>2</v>
      </c>
      <c r="I25" s="425">
        <f>DCOUNTA(B1:E28, E1, H7:I8)</f>
        <v>2</v>
      </c>
      <c r="J25" s="426">
        <f>DPRODUCT(B1:E28, E1, H7:J8)</f>
        <v>48000000</v>
      </c>
      <c r="K25" s="420"/>
    </row>
    <row r="26" spans="2:12" ht="15.45" customHeight="1" x14ac:dyDescent="0.25">
      <c r="B26" s="408">
        <v>36532</v>
      </c>
      <c r="C26" s="408" t="s">
        <v>33</v>
      </c>
      <c r="D26" s="409" t="s">
        <v>31</v>
      </c>
      <c r="E26" s="409">
        <v>38000</v>
      </c>
      <c r="F26" s="410"/>
      <c r="H26" s="425"/>
      <c r="I26" s="425"/>
      <c r="J26" s="426"/>
      <c r="K26" s="420"/>
    </row>
    <row r="27" spans="2:12" ht="15.45" customHeight="1" x14ac:dyDescent="0.25">
      <c r="B27" s="427">
        <v>36547</v>
      </c>
      <c r="C27" s="428" t="s">
        <v>33</v>
      </c>
      <c r="D27" s="428" t="s">
        <v>22</v>
      </c>
      <c r="E27" s="409">
        <v>40000</v>
      </c>
      <c r="F27" s="410"/>
      <c r="H27" s="448"/>
      <c r="I27" s="448"/>
      <c r="J27" s="449"/>
      <c r="K27" s="420"/>
    </row>
    <row r="28" spans="2:12" ht="15.45" customHeight="1" x14ac:dyDescent="0.25">
      <c r="B28" s="429">
        <v>36529</v>
      </c>
      <c r="C28" s="429" t="s">
        <v>33</v>
      </c>
      <c r="D28" s="430" t="s">
        <v>28</v>
      </c>
      <c r="E28" s="409">
        <v>42000</v>
      </c>
      <c r="F28" s="410"/>
      <c r="H28" s="450"/>
      <c r="I28" s="450"/>
      <c r="J28" s="450"/>
    </row>
    <row r="29" spans="2:12" ht="15.45" customHeight="1" x14ac:dyDescent="0.25">
      <c r="B29" s="431"/>
      <c r="C29" s="431"/>
      <c r="D29" s="410"/>
    </row>
    <row r="31" spans="2:12" ht="15.45" customHeight="1" x14ac:dyDescent="0.3">
      <c r="C31" s="432" t="s">
        <v>537</v>
      </c>
    </row>
    <row r="32" spans="2:12" s="435" customFormat="1" ht="34.049999999999997" customHeight="1" x14ac:dyDescent="0.3">
      <c r="B32" s="433" t="s">
        <v>16</v>
      </c>
      <c r="C32" s="433" t="s">
        <v>84</v>
      </c>
      <c r="D32" s="433" t="s">
        <v>85</v>
      </c>
      <c r="E32" s="433" t="s">
        <v>86</v>
      </c>
      <c r="F32" s="434"/>
    </row>
    <row r="33" spans="2:6" ht="15.45" customHeight="1" x14ac:dyDescent="0.25">
      <c r="B33" s="436" t="s">
        <v>32</v>
      </c>
      <c r="C33" s="437">
        <v>9000</v>
      </c>
      <c r="D33" s="437">
        <v>1000</v>
      </c>
      <c r="E33" s="437"/>
      <c r="F33" s="438"/>
    </row>
    <row r="34" spans="2:6" ht="15.45" customHeight="1" x14ac:dyDescent="0.25">
      <c r="B34" s="436" t="s">
        <v>31</v>
      </c>
      <c r="C34" s="437">
        <v>8000</v>
      </c>
      <c r="D34" s="437">
        <v>2000</v>
      </c>
      <c r="E34" s="437"/>
      <c r="F34" s="438"/>
    </row>
    <row r="35" spans="2:6" ht="15.45" customHeight="1" x14ac:dyDescent="0.25">
      <c r="B35" s="436" t="s">
        <v>25</v>
      </c>
      <c r="C35" s="437">
        <v>8000</v>
      </c>
      <c r="D35" s="437">
        <v>4000</v>
      </c>
      <c r="E35" s="437"/>
      <c r="F35" s="438"/>
    </row>
    <row r="36" spans="2:6" ht="15.45" customHeight="1" x14ac:dyDescent="0.25">
      <c r="B36" s="436" t="s">
        <v>29</v>
      </c>
      <c r="C36" s="437">
        <v>10000</v>
      </c>
      <c r="D36" s="437">
        <v>3000</v>
      </c>
      <c r="E36" s="437"/>
      <c r="F36" s="438"/>
    </row>
    <row r="37" spans="2:6" ht="15.45" customHeight="1" x14ac:dyDescent="0.25">
      <c r="B37" s="436" t="s">
        <v>22</v>
      </c>
      <c r="C37" s="437">
        <v>35700</v>
      </c>
      <c r="D37" s="437">
        <v>10000</v>
      </c>
      <c r="E37" s="437"/>
      <c r="F37" s="438"/>
    </row>
    <row r="38" spans="2:6" ht="15.45" customHeight="1" x14ac:dyDescent="0.25">
      <c r="B38" s="425" t="s">
        <v>26</v>
      </c>
      <c r="C38" s="439">
        <v>15000</v>
      </c>
      <c r="D38" s="439">
        <v>18000</v>
      </c>
      <c r="E38" s="437"/>
    </row>
    <row r="39" spans="2:6" ht="15.45" customHeight="1" x14ac:dyDescent="0.25">
      <c r="B39" s="425" t="s">
        <v>32</v>
      </c>
      <c r="C39" s="439">
        <v>30000</v>
      </c>
      <c r="D39" s="439">
        <v>18000</v>
      </c>
      <c r="E39" s="437"/>
    </row>
    <row r="40" spans="2:6" ht="15.45" customHeight="1" x14ac:dyDescent="0.25">
      <c r="B40" s="425" t="s">
        <v>28</v>
      </c>
      <c r="C40" s="439">
        <v>32000</v>
      </c>
      <c r="D40" s="439">
        <v>20000</v>
      </c>
      <c r="E40" s="437"/>
    </row>
    <row r="41" spans="2:6" ht="15.45" customHeight="1" x14ac:dyDescent="0.25">
      <c r="B41" s="425" t="s">
        <v>23</v>
      </c>
      <c r="C41" s="439">
        <v>34000</v>
      </c>
      <c r="D41" s="439">
        <v>22000</v>
      </c>
      <c r="E41" s="437"/>
    </row>
    <row r="42" spans="2:6" ht="15.45" customHeight="1" x14ac:dyDescent="0.25">
      <c r="B42" s="425" t="s">
        <v>21</v>
      </c>
      <c r="C42" s="439">
        <v>36000</v>
      </c>
      <c r="D42" s="439">
        <v>25000</v>
      </c>
      <c r="E42" s="437"/>
    </row>
    <row r="43" spans="2:6" ht="15.45" customHeight="1" x14ac:dyDescent="0.3">
      <c r="D43" s="440" t="s">
        <v>82</v>
      </c>
      <c r="E43" s="441">
        <f t="array" ref="E43">SUM(C33:C42-D33:D42)</f>
        <v>94700</v>
      </c>
      <c r="F43" s="442"/>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4807-9A72-4B48-B723-B7528F797DC3}">
  <dimension ref="A2:H34"/>
  <sheetViews>
    <sheetView topLeftCell="D1" zoomScale="115" zoomScaleNormal="115" workbookViewId="0">
      <selection activeCell="C19" sqref="C19"/>
    </sheetView>
  </sheetViews>
  <sheetFormatPr defaultColWidth="8.77734375" defaultRowHeight="16.95" customHeight="1" x14ac:dyDescent="0.3"/>
  <cols>
    <col min="1" max="1" width="12.44140625" style="362" customWidth="1"/>
    <col min="2" max="2" width="19.88671875" style="362" customWidth="1"/>
    <col min="3" max="3" width="12.44140625" style="362" customWidth="1"/>
    <col min="4" max="4" width="21.33203125" style="362" customWidth="1"/>
    <col min="5" max="5" width="11.77734375" style="362" customWidth="1"/>
    <col min="6" max="6" width="21.21875" style="362" customWidth="1"/>
    <col min="7" max="7" width="16.5546875" style="362" customWidth="1"/>
    <col min="8" max="8" width="15.88671875" style="362" customWidth="1"/>
    <col min="9" max="9" width="16.21875" style="362" customWidth="1"/>
    <col min="10" max="10" width="23.21875" style="362" customWidth="1"/>
    <col min="11" max="11" width="44.77734375" style="362" customWidth="1"/>
    <col min="12" max="12" width="23.44140625" style="362" customWidth="1"/>
    <col min="13" max="13" width="15.33203125" style="362" customWidth="1"/>
    <col min="14" max="14" width="16.6640625" style="362" customWidth="1"/>
    <col min="15" max="16384" width="8.77734375" style="362"/>
  </cols>
  <sheetData>
    <row r="2" spans="2:7" ht="16.95" customHeight="1" thickBot="1" x14ac:dyDescent="0.35">
      <c r="C2" s="716" t="s">
        <v>170</v>
      </c>
      <c r="D2" s="717"/>
      <c r="E2" s="718"/>
    </row>
    <row r="3" spans="2:7" ht="15.45" customHeight="1" x14ac:dyDescent="0.3"/>
    <row r="4" spans="2:7" s="372" customFormat="1" ht="16.95" customHeight="1" x14ac:dyDescent="0.3">
      <c r="B4" s="369" t="s">
        <v>112</v>
      </c>
      <c r="C4" s="369" t="s">
        <v>528</v>
      </c>
      <c r="D4" s="369" t="s">
        <v>171</v>
      </c>
      <c r="E4" s="369" t="s">
        <v>172</v>
      </c>
      <c r="F4" s="369" t="s">
        <v>173</v>
      </c>
    </row>
    <row r="5" spans="2:7" ht="16.95" customHeight="1" x14ac:dyDescent="0.3">
      <c r="B5" s="364" t="s">
        <v>174</v>
      </c>
      <c r="C5" s="365">
        <v>30</v>
      </c>
      <c r="D5" s="365">
        <v>40</v>
      </c>
      <c r="E5" s="365">
        <v>49</v>
      </c>
      <c r="F5" s="365">
        <v>34</v>
      </c>
    </row>
    <row r="6" spans="2:7" ht="16.95" customHeight="1" x14ac:dyDescent="0.3">
      <c r="B6" s="364" t="s">
        <v>175</v>
      </c>
      <c r="C6" s="365">
        <v>82</v>
      </c>
      <c r="D6" s="365">
        <v>29</v>
      </c>
      <c r="E6" s="365">
        <v>41</v>
      </c>
      <c r="F6" s="365">
        <v>56</v>
      </c>
    </row>
    <row r="7" spans="2:7" ht="16.95" customHeight="1" x14ac:dyDescent="0.3">
      <c r="B7" s="364" t="s">
        <v>176</v>
      </c>
      <c r="C7" s="365">
        <v>22</v>
      </c>
      <c r="D7" s="365">
        <v>64</v>
      </c>
      <c r="E7" s="365">
        <v>30</v>
      </c>
      <c r="F7" s="374">
        <v>47</v>
      </c>
      <c r="G7" s="362" t="str">
        <f>IF(OR(C5&gt;50,D5&gt;50,E5&gt;50,F5&gt;50),"PASSED","FAILED")</f>
        <v>FAILED</v>
      </c>
    </row>
    <row r="8" spans="2:7" ht="16.95" customHeight="1" x14ac:dyDescent="0.3">
      <c r="B8" s="364" t="s">
        <v>177</v>
      </c>
      <c r="C8" s="365">
        <v>75</v>
      </c>
      <c r="D8" s="365">
        <v>21</v>
      </c>
      <c r="E8" s="365">
        <v>78</v>
      </c>
      <c r="F8" s="374">
        <v>77</v>
      </c>
      <c r="G8" s="362" t="str">
        <f>IF(OR(C6&gt;50,D6&gt;50,E6&gt;50,F6&gt;50),"PASSED","FAILED")</f>
        <v>PASSED</v>
      </c>
    </row>
    <row r="9" spans="2:7" ht="16.95" customHeight="1" x14ac:dyDescent="0.3">
      <c r="B9" s="364" t="s">
        <v>178</v>
      </c>
      <c r="C9" s="365">
        <v>39</v>
      </c>
      <c r="D9" s="365">
        <v>37</v>
      </c>
      <c r="E9" s="365">
        <v>45</v>
      </c>
      <c r="F9" s="374">
        <v>22</v>
      </c>
      <c r="G9" s="362" t="str">
        <f>IF(OR(C7&gt;50,D7&gt;50,E7&gt;50,F7&gt;50),"PASSED","FAILED")</f>
        <v>PASSED</v>
      </c>
    </row>
    <row r="10" spans="2:7" ht="16.95" customHeight="1" x14ac:dyDescent="0.3">
      <c r="B10" s="364" t="s">
        <v>179</v>
      </c>
      <c r="C10" s="365">
        <v>39</v>
      </c>
      <c r="D10" s="365">
        <v>71</v>
      </c>
      <c r="E10" s="365">
        <v>28</v>
      </c>
      <c r="F10" s="374">
        <v>90</v>
      </c>
      <c r="G10" s="362" t="str">
        <f>IF(AND(C8&gt;50,D8&gt;50,E8&gt;50,F8&gt;50),"PASSED","FAILED")</f>
        <v>FAILED</v>
      </c>
    </row>
    <row r="11" spans="2:7" ht="16.95" customHeight="1" x14ac:dyDescent="0.3">
      <c r="B11" s="364" t="s">
        <v>180</v>
      </c>
      <c r="C11" s="365">
        <v>42</v>
      </c>
      <c r="D11" s="365">
        <v>38</v>
      </c>
      <c r="E11" s="365">
        <v>12</v>
      </c>
      <c r="F11" s="374">
        <v>40</v>
      </c>
      <c r="G11" s="362" t="str">
        <f>IF(OR(C9&gt;50,D9&gt;50,E9&gt;50,F9&gt;50),"PASSED","FAILED")</f>
        <v>FAILED</v>
      </c>
    </row>
    <row r="12" spans="2:7" ht="16.95" customHeight="1" x14ac:dyDescent="0.3">
      <c r="B12" s="364" t="s">
        <v>181</v>
      </c>
      <c r="C12" s="365">
        <v>76</v>
      </c>
      <c r="D12" s="365">
        <v>35</v>
      </c>
      <c r="E12" s="365">
        <v>35</v>
      </c>
      <c r="F12" s="365">
        <v>27</v>
      </c>
    </row>
    <row r="13" spans="2:7" ht="16.95" customHeight="1" x14ac:dyDescent="0.3">
      <c r="B13" s="364" t="s">
        <v>182</v>
      </c>
      <c r="C13" s="365">
        <v>39</v>
      </c>
      <c r="D13" s="365">
        <v>50</v>
      </c>
      <c r="E13" s="365">
        <v>66</v>
      </c>
      <c r="F13" s="365">
        <v>26</v>
      </c>
    </row>
    <row r="14" spans="2:7" ht="16.95" customHeight="1" x14ac:dyDescent="0.3">
      <c r="B14" s="334" t="s">
        <v>82</v>
      </c>
      <c r="C14" s="373">
        <f>SUM(C5:C13)</f>
        <v>444</v>
      </c>
      <c r="D14" s="373">
        <f>SUM(D5:D13)</f>
        <v>385</v>
      </c>
      <c r="E14" s="373">
        <f>SUM(E5:E13)</f>
        <v>384</v>
      </c>
      <c r="F14" s="373">
        <f>SUM(F5:F13)</f>
        <v>419</v>
      </c>
    </row>
    <row r="17" spans="1:8" ht="15.6" x14ac:dyDescent="0.3">
      <c r="B17" s="376" t="s">
        <v>183</v>
      </c>
      <c r="C17" s="366" t="b">
        <v>1</v>
      </c>
      <c r="D17" s="366" t="b">
        <v>0</v>
      </c>
      <c r="E17" s="366" t="b">
        <v>1</v>
      </c>
    </row>
    <row r="18" spans="1:8" ht="16.95" customHeight="1" x14ac:dyDescent="0.3">
      <c r="B18" s="376" t="s">
        <v>184</v>
      </c>
      <c r="C18" s="366" t="b">
        <v>1</v>
      </c>
      <c r="D18" s="366" t="b">
        <v>1</v>
      </c>
      <c r="E18" s="366" t="b">
        <v>1</v>
      </c>
    </row>
    <row r="19" spans="1:8" ht="16.95" customHeight="1" x14ac:dyDescent="0.3">
      <c r="B19" s="376" t="s">
        <v>184</v>
      </c>
      <c r="C19" s="366" t="b">
        <v>0</v>
      </c>
      <c r="D19" s="366" t="b">
        <v>1</v>
      </c>
      <c r="E19" s="366" t="b">
        <v>0</v>
      </c>
    </row>
    <row r="20" spans="1:8" ht="16.95" customHeight="1" x14ac:dyDescent="0.3">
      <c r="B20" s="376" t="s">
        <v>527</v>
      </c>
      <c r="C20" s="366" t="b">
        <v>0</v>
      </c>
      <c r="D20" s="366" t="b">
        <v>1</v>
      </c>
      <c r="E20" s="366" t="b">
        <v>1</v>
      </c>
    </row>
    <row r="21" spans="1:8" ht="16.95" customHeight="1" x14ac:dyDescent="0.3">
      <c r="B21" s="376" t="s">
        <v>527</v>
      </c>
      <c r="C21" s="366" t="b">
        <v>1</v>
      </c>
      <c r="D21" s="366" t="b">
        <v>0</v>
      </c>
      <c r="E21" s="366" t="b">
        <v>1</v>
      </c>
    </row>
    <row r="22" spans="1:8" ht="16.95" customHeight="1" x14ac:dyDescent="0.3">
      <c r="B22" s="376" t="s">
        <v>527</v>
      </c>
      <c r="C22" s="366" t="b">
        <v>1</v>
      </c>
      <c r="D22" s="366" t="b">
        <v>1</v>
      </c>
      <c r="E22" s="366" t="b">
        <v>0</v>
      </c>
    </row>
    <row r="25" spans="1:8" ht="16.95" customHeight="1" x14ac:dyDescent="0.3">
      <c r="A25" s="369" t="s">
        <v>112</v>
      </c>
      <c r="B25" s="370" t="s">
        <v>185</v>
      </c>
      <c r="C25" s="371" t="s">
        <v>186</v>
      </c>
      <c r="D25" s="370" t="s">
        <v>187</v>
      </c>
      <c r="E25" s="371" t="s">
        <v>186</v>
      </c>
      <c r="F25" s="370" t="s">
        <v>188</v>
      </c>
      <c r="G25" s="363"/>
    </row>
    <row r="26" spans="1:8" ht="16.95" customHeight="1" x14ac:dyDescent="0.3">
      <c r="A26" s="364" t="s">
        <v>174</v>
      </c>
      <c r="B26" s="365" t="b">
        <f>OR(C5&gt;50, D5&gt;50, E5&gt;50, F5&gt;50)</f>
        <v>0</v>
      </c>
      <c r="C26" s="375" t="str">
        <f>IF(B26=TRUE, "Passed", "Failed")</f>
        <v>Failed</v>
      </c>
      <c r="D26" s="365" t="b">
        <f>AND(C5&gt;50, D5&gt;50, E5&gt;50, F5&gt;50)</f>
        <v>0</v>
      </c>
      <c r="E26" s="367" t="str">
        <f>IF(D26=TRUE, "Passed", "Failed")</f>
        <v>Failed</v>
      </c>
      <c r="F26" s="365" t="b">
        <f>_xlfn.XOR(C5&gt;50, D5&gt;50, E5&gt;50, F5&gt;50)</f>
        <v>0</v>
      </c>
      <c r="G26" s="368"/>
    </row>
    <row r="27" spans="1:8" ht="14.4" x14ac:dyDescent="0.3">
      <c r="A27" s="364" t="s">
        <v>175</v>
      </c>
      <c r="B27" s="365" t="b">
        <f>OR(C6&gt;50, D6&gt;50, E6&gt;50, F6&gt;50)</f>
        <v>1</v>
      </c>
      <c r="C27" s="367" t="str">
        <f>IF(B27=TRUE, "Passed", "Failed")</f>
        <v>Passed</v>
      </c>
      <c r="D27" s="365" t="b">
        <f>AND(C6&gt;50, D6&gt;50, E6&gt;50, F6&gt;50)</f>
        <v>0</v>
      </c>
      <c r="E27" s="367" t="str">
        <f t="shared" ref="E27:E34" si="0">IF(D27=TRUE, "Passed", "Failed")</f>
        <v>Failed</v>
      </c>
      <c r="F27" s="365" t="b">
        <f>_xlfn.XOR(C6&gt;50, D6&gt;50, E6&gt;50, F6&gt;50)</f>
        <v>0</v>
      </c>
      <c r="G27" s="368"/>
    </row>
    <row r="28" spans="1:8" ht="59.55" customHeight="1" x14ac:dyDescent="0.3">
      <c r="A28" s="364" t="s">
        <v>176</v>
      </c>
      <c r="B28" s="365" t="b">
        <f t="shared" ref="B28:B34" si="1">OR(C7&gt;50, D7&gt;50, E7&gt;50, F7&gt;50)</f>
        <v>1</v>
      </c>
      <c r="C28" s="367" t="str">
        <f t="shared" ref="C28:C34" si="2">IF(B28=TRUE, "Passed", "Failed")</f>
        <v>Passed</v>
      </c>
      <c r="D28" s="365" t="b">
        <f t="shared" ref="D28:D34" si="3">AND(C7&gt;50, D7&gt;50, E7&gt;50, F7&gt;50)</f>
        <v>0</v>
      </c>
      <c r="E28" s="367" t="str">
        <f t="shared" si="0"/>
        <v>Failed</v>
      </c>
      <c r="F28" s="365" t="b">
        <f t="shared" ref="F28:F34" si="4">_xlfn.XOR(C7&gt;50, D7&gt;50, E7&gt;50, F7&gt;50)</f>
        <v>1</v>
      </c>
      <c r="G28" s="719" t="s">
        <v>529</v>
      </c>
      <c r="H28" s="720"/>
    </row>
    <row r="29" spans="1:8" ht="16.95" customHeight="1" x14ac:dyDescent="0.3">
      <c r="A29" s="364" t="s">
        <v>177</v>
      </c>
      <c r="B29" s="365" t="b">
        <f t="shared" si="1"/>
        <v>1</v>
      </c>
      <c r="C29" s="367" t="str">
        <f t="shared" si="2"/>
        <v>Passed</v>
      </c>
      <c r="D29" s="365" t="b">
        <f t="shared" si="3"/>
        <v>0</v>
      </c>
      <c r="E29" s="367" t="str">
        <f t="shared" si="0"/>
        <v>Failed</v>
      </c>
      <c r="F29" s="365" t="b">
        <f t="shared" si="4"/>
        <v>1</v>
      </c>
      <c r="G29" s="368"/>
    </row>
    <row r="30" spans="1:8" ht="16.95" customHeight="1" x14ac:dyDescent="0.3">
      <c r="A30" s="364" t="s">
        <v>178</v>
      </c>
      <c r="B30" s="365" t="b">
        <f t="shared" si="1"/>
        <v>0</v>
      </c>
      <c r="C30" s="367" t="str">
        <f t="shared" si="2"/>
        <v>Failed</v>
      </c>
      <c r="D30" s="365" t="b">
        <f t="shared" si="3"/>
        <v>0</v>
      </c>
      <c r="E30" s="367" t="str">
        <f t="shared" si="0"/>
        <v>Failed</v>
      </c>
      <c r="F30" s="365" t="b">
        <f t="shared" si="4"/>
        <v>0</v>
      </c>
      <c r="G30" s="368"/>
    </row>
    <row r="31" spans="1:8" ht="16.95" customHeight="1" x14ac:dyDescent="0.3">
      <c r="A31" s="364" t="s">
        <v>179</v>
      </c>
      <c r="B31" s="365" t="b">
        <f t="shared" si="1"/>
        <v>1</v>
      </c>
      <c r="C31" s="367" t="str">
        <f t="shared" si="2"/>
        <v>Passed</v>
      </c>
      <c r="D31" s="365" t="b">
        <f t="shared" si="3"/>
        <v>0</v>
      </c>
      <c r="E31" s="367" t="str">
        <f t="shared" si="0"/>
        <v>Failed</v>
      </c>
      <c r="F31" s="365" t="b">
        <f t="shared" si="4"/>
        <v>0</v>
      </c>
      <c r="G31" s="368"/>
    </row>
    <row r="32" spans="1:8" ht="16.95" customHeight="1" x14ac:dyDescent="0.3">
      <c r="A32" s="364" t="s">
        <v>180</v>
      </c>
      <c r="B32" s="365" t="b">
        <f t="shared" si="1"/>
        <v>0</v>
      </c>
      <c r="C32" s="367" t="str">
        <f t="shared" si="2"/>
        <v>Failed</v>
      </c>
      <c r="D32" s="365" t="b">
        <f t="shared" si="3"/>
        <v>0</v>
      </c>
      <c r="E32" s="367" t="str">
        <f t="shared" si="0"/>
        <v>Failed</v>
      </c>
      <c r="F32" s="365" t="b">
        <f t="shared" si="4"/>
        <v>0</v>
      </c>
      <c r="G32" s="368"/>
    </row>
    <row r="33" spans="1:7" ht="16.95" customHeight="1" x14ac:dyDescent="0.3">
      <c r="A33" s="364" t="s">
        <v>181</v>
      </c>
      <c r="B33" s="365" t="b">
        <f t="shared" si="1"/>
        <v>1</v>
      </c>
      <c r="C33" s="367" t="str">
        <f t="shared" si="2"/>
        <v>Passed</v>
      </c>
      <c r="D33" s="365" t="b">
        <f t="shared" si="3"/>
        <v>0</v>
      </c>
      <c r="E33" s="367" t="str">
        <f t="shared" si="0"/>
        <v>Failed</v>
      </c>
      <c r="F33" s="365" t="b">
        <f t="shared" si="4"/>
        <v>1</v>
      </c>
      <c r="G33" s="368"/>
    </row>
    <row r="34" spans="1:7" ht="16.95" customHeight="1" x14ac:dyDescent="0.3">
      <c r="A34" s="364" t="s">
        <v>182</v>
      </c>
      <c r="B34" s="365" t="b">
        <f t="shared" si="1"/>
        <v>1</v>
      </c>
      <c r="C34" s="367" t="str">
        <f t="shared" si="2"/>
        <v>Passed</v>
      </c>
      <c r="D34" s="365" t="b">
        <f t="shared" si="3"/>
        <v>0</v>
      </c>
      <c r="E34" s="367" t="str">
        <f t="shared" si="0"/>
        <v>Failed</v>
      </c>
      <c r="F34" s="365" t="b">
        <f t="shared" si="4"/>
        <v>1</v>
      </c>
      <c r="G34" s="368"/>
    </row>
  </sheetData>
  <mergeCells count="2">
    <mergeCell ref="C2:E2"/>
    <mergeCell ref="G28:H28"/>
  </mergeCells>
  <pageMargins left="0.7" right="0.7" top="0.75" bottom="0.75" header="0.3" footer="0.3"/>
  <pageSetup orientation="portrait" r:id="rId1"/>
  <ignoredErrors>
    <ignoredError sqref="D26"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21C6B-82B2-4E3B-A185-9252972E8646}">
  <dimension ref="C2:I15"/>
  <sheetViews>
    <sheetView workbookViewId="0">
      <selection activeCell="C19" sqref="C19"/>
    </sheetView>
  </sheetViews>
  <sheetFormatPr defaultRowHeight="14.4" x14ac:dyDescent="0.3"/>
  <cols>
    <col min="3" max="3" width="17.21875" customWidth="1"/>
    <col min="4" max="4" width="17" customWidth="1"/>
    <col min="5" max="5" width="23.77734375" customWidth="1"/>
    <col min="6" max="6" width="19.33203125" customWidth="1"/>
    <col min="8" max="8" width="15.88671875" customWidth="1"/>
    <col min="9" max="9" width="27.5546875" bestFit="1" customWidth="1"/>
  </cols>
  <sheetData>
    <row r="2" spans="3:9" x14ac:dyDescent="0.3">
      <c r="C2" s="112" t="s">
        <v>18</v>
      </c>
      <c r="D2" s="112" t="s">
        <v>19</v>
      </c>
      <c r="E2" s="112" t="s">
        <v>16</v>
      </c>
      <c r="F2" s="112" t="s">
        <v>17</v>
      </c>
      <c r="G2" s="79"/>
      <c r="H2" s="79"/>
      <c r="I2" s="79"/>
    </row>
    <row r="3" spans="3:9" ht="16.2" x14ac:dyDescent="0.3">
      <c r="C3" s="2">
        <v>36531</v>
      </c>
      <c r="D3" s="2" t="s">
        <v>20</v>
      </c>
      <c r="E3" s="3" t="s">
        <v>21</v>
      </c>
      <c r="F3" s="3">
        <v>12000</v>
      </c>
      <c r="G3" s="79"/>
      <c r="H3" s="79"/>
      <c r="I3" s="113" t="s">
        <v>140</v>
      </c>
    </row>
    <row r="4" spans="3:9" ht="16.2" x14ac:dyDescent="0.3">
      <c r="C4" s="2">
        <v>36542</v>
      </c>
      <c r="D4" s="2" t="s">
        <v>20</v>
      </c>
      <c r="E4" s="3" t="s">
        <v>22</v>
      </c>
      <c r="F4" s="3">
        <v>35700</v>
      </c>
      <c r="G4" s="79"/>
      <c r="H4" s="79"/>
      <c r="I4" s="113" t="s">
        <v>141</v>
      </c>
    </row>
    <row r="5" spans="3:9" ht="16.2" x14ac:dyDescent="0.3">
      <c r="C5" s="2">
        <v>36535</v>
      </c>
      <c r="D5" s="2" t="s">
        <v>20</v>
      </c>
      <c r="E5" s="3" t="s">
        <v>22</v>
      </c>
      <c r="F5" s="3">
        <v>42840</v>
      </c>
      <c r="G5" s="79"/>
      <c r="H5" s="79"/>
      <c r="I5" s="113" t="s">
        <v>142</v>
      </c>
    </row>
    <row r="6" spans="3:9" ht="16.2" x14ac:dyDescent="0.3">
      <c r="C6" s="2">
        <v>36530</v>
      </c>
      <c r="D6" s="2" t="s">
        <v>20</v>
      </c>
      <c r="E6" s="3" t="s">
        <v>23</v>
      </c>
      <c r="F6" s="3">
        <v>10000</v>
      </c>
      <c r="G6" s="79"/>
      <c r="H6" s="79"/>
      <c r="I6" s="113" t="s">
        <v>143</v>
      </c>
    </row>
    <row r="7" spans="3:9" ht="16.2" x14ac:dyDescent="0.3">
      <c r="C7" s="2">
        <v>36533</v>
      </c>
      <c r="D7" s="2" t="s">
        <v>24</v>
      </c>
      <c r="E7" s="3" t="s">
        <v>25</v>
      </c>
      <c r="F7" s="3">
        <v>32640</v>
      </c>
      <c r="G7" s="79"/>
      <c r="H7" s="79"/>
      <c r="I7" s="113" t="s">
        <v>144</v>
      </c>
    </row>
    <row r="8" spans="3:9" ht="19.2" x14ac:dyDescent="0.3">
      <c r="C8" s="2">
        <v>36526</v>
      </c>
      <c r="D8" s="2" t="s">
        <v>24</v>
      </c>
      <c r="E8" s="3" t="s">
        <v>26</v>
      </c>
      <c r="F8" s="3">
        <v>4000</v>
      </c>
      <c r="G8" s="79"/>
      <c r="H8" s="114" t="str">
        <f>IF(F3&gt;F4, "Yes", "No")</f>
        <v>No</v>
      </c>
      <c r="I8" s="113" t="s">
        <v>145</v>
      </c>
    </row>
    <row r="9" spans="3:9" ht="19.2" x14ac:dyDescent="0.3">
      <c r="C9" s="2">
        <v>36528</v>
      </c>
      <c r="D9" s="2" t="s">
        <v>24</v>
      </c>
      <c r="E9" s="3" t="s">
        <v>27</v>
      </c>
      <c r="F9" s="3">
        <v>8000</v>
      </c>
      <c r="G9" s="79"/>
      <c r="H9" s="114" t="str">
        <f>IF(F3&lt;F4, "Yes", "No")</f>
        <v>Yes</v>
      </c>
      <c r="I9" s="79"/>
    </row>
    <row r="10" spans="3:9" ht="19.2" x14ac:dyDescent="0.3">
      <c r="C10" s="2">
        <v>36544</v>
      </c>
      <c r="D10" s="3" t="s">
        <v>24</v>
      </c>
      <c r="E10" s="3" t="s">
        <v>27</v>
      </c>
      <c r="F10" s="3">
        <v>8000</v>
      </c>
      <c r="G10" s="79"/>
      <c r="H10" s="114">
        <f>IF(F7&gt;F13, 10, 20)</f>
        <v>20</v>
      </c>
      <c r="I10" s="79"/>
    </row>
    <row r="11" spans="3:9" ht="19.2" x14ac:dyDescent="0.3">
      <c r="C11" s="2">
        <v>36541</v>
      </c>
      <c r="D11" s="2" t="s">
        <v>24</v>
      </c>
      <c r="E11" s="3" t="s">
        <v>22</v>
      </c>
      <c r="F11" s="3">
        <v>42840</v>
      </c>
      <c r="G11" s="79"/>
      <c r="H11" s="114">
        <f>IF(F8&lt;F14, 10, 20)</f>
        <v>10</v>
      </c>
      <c r="I11" s="79"/>
    </row>
    <row r="12" spans="3:9" ht="19.2" x14ac:dyDescent="0.3">
      <c r="C12" s="2">
        <v>36545</v>
      </c>
      <c r="D12" s="3" t="s">
        <v>24</v>
      </c>
      <c r="E12" s="3" t="s">
        <v>28</v>
      </c>
      <c r="F12" s="3">
        <v>8000</v>
      </c>
      <c r="G12" s="79"/>
      <c r="H12" s="114" t="str">
        <f>IF(F6=F17, "YES", "NO")</f>
        <v>NO</v>
      </c>
      <c r="I12" s="79"/>
    </row>
    <row r="13" spans="3:9" ht="19.2" x14ac:dyDescent="0.3">
      <c r="C13" s="2">
        <v>36534</v>
      </c>
      <c r="D13" s="2" t="s">
        <v>24</v>
      </c>
      <c r="E13" s="3" t="s">
        <v>29</v>
      </c>
      <c r="F13" s="3">
        <v>48960</v>
      </c>
      <c r="G13" s="79"/>
      <c r="H13" s="114" t="str">
        <f>IF(F17=F6, UPPER(I4), UPPER(I3))</f>
        <v>NO</v>
      </c>
      <c r="I13" s="79"/>
    </row>
    <row r="14" spans="3:9" ht="19.2" x14ac:dyDescent="0.3">
      <c r="C14" s="2">
        <v>36539</v>
      </c>
      <c r="D14" s="2" t="s">
        <v>30</v>
      </c>
      <c r="E14" s="3" t="s">
        <v>25</v>
      </c>
      <c r="F14" s="3">
        <v>32640</v>
      </c>
      <c r="G14" s="79"/>
      <c r="H14" s="114" t="str">
        <f>IF(F20&lt;&gt;F18, "Expensive", "Inexpensive")</f>
        <v>Inexpensive</v>
      </c>
      <c r="I14" s="79"/>
    </row>
    <row r="15" spans="3:9" ht="19.2" x14ac:dyDescent="0.3">
      <c r="C15" s="2">
        <v>36538</v>
      </c>
      <c r="D15" s="2" t="s">
        <v>30</v>
      </c>
      <c r="E15" s="3" t="s">
        <v>31</v>
      </c>
      <c r="F15" s="3">
        <v>35700</v>
      </c>
      <c r="G15" s="79"/>
      <c r="H15" s="114" t="str">
        <f>IF(F20&gt;F18, "Expensive", "Inexpensive")</f>
        <v>Inexpensive</v>
      </c>
      <c r="I15" s="79"/>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CEBC0-B68C-4081-BB64-F341E7B5FA92}">
  <dimension ref="B2:H14"/>
  <sheetViews>
    <sheetView workbookViewId="0">
      <selection activeCell="C19" sqref="C19"/>
    </sheetView>
  </sheetViews>
  <sheetFormatPr defaultColWidth="8.77734375" defaultRowHeight="14.4" x14ac:dyDescent="0.3"/>
  <cols>
    <col min="1" max="1" width="8.77734375" style="119"/>
    <col min="2" max="2" width="13.5546875" style="119" customWidth="1"/>
    <col min="3" max="3" width="16.6640625" style="119" customWidth="1"/>
    <col min="4" max="4" width="15.109375" style="119" customWidth="1"/>
    <col min="5" max="5" width="16.77734375" style="119" customWidth="1"/>
    <col min="6" max="6" width="15" style="119" customWidth="1"/>
    <col min="7" max="7" width="17" style="119" customWidth="1"/>
    <col min="8" max="8" width="12.77734375" style="119" customWidth="1"/>
    <col min="9" max="9" width="37.77734375" style="119" customWidth="1"/>
    <col min="10" max="16384" width="8.77734375" style="119"/>
  </cols>
  <sheetData>
    <row r="2" spans="2:8" x14ac:dyDescent="0.3">
      <c r="B2" s="115" t="s">
        <v>35</v>
      </c>
      <c r="C2" s="115" t="s">
        <v>36</v>
      </c>
      <c r="D2" s="115" t="s">
        <v>37</v>
      </c>
      <c r="E2" s="116"/>
      <c r="F2" s="116"/>
      <c r="G2" s="117"/>
      <c r="H2" s="118"/>
    </row>
    <row r="3" spans="2:8" x14ac:dyDescent="0.3">
      <c r="B3" s="116" t="s">
        <v>0</v>
      </c>
      <c r="C3" s="116" t="s">
        <v>1</v>
      </c>
      <c r="D3" s="120">
        <v>1000</v>
      </c>
      <c r="E3" s="116"/>
      <c r="F3" s="116">
        <v>50</v>
      </c>
      <c r="G3" s="116"/>
      <c r="H3" s="116"/>
    </row>
    <row r="4" spans="2:8" x14ac:dyDescent="0.3">
      <c r="B4" s="116" t="s">
        <v>2</v>
      </c>
      <c r="C4" s="116" t="s">
        <v>38</v>
      </c>
      <c r="D4" s="120">
        <v>5000</v>
      </c>
      <c r="E4" s="116">
        <v>40</v>
      </c>
      <c r="F4" s="116"/>
      <c r="G4" s="116">
        <f>SUM(F3,F5,F7,F9,E4)</f>
        <v>280</v>
      </c>
      <c r="H4" s="118" t="s">
        <v>39</v>
      </c>
    </row>
    <row r="5" spans="2:8" x14ac:dyDescent="0.3">
      <c r="B5" s="116" t="s">
        <v>4</v>
      </c>
      <c r="C5" s="116" t="s">
        <v>5</v>
      </c>
      <c r="D5" s="120">
        <v>1000</v>
      </c>
      <c r="E5" s="116"/>
      <c r="F5" s="116">
        <v>10</v>
      </c>
      <c r="G5" s="116"/>
      <c r="H5" s="116"/>
    </row>
    <row r="6" spans="2:8" x14ac:dyDescent="0.3">
      <c r="B6" s="116" t="s">
        <v>6</v>
      </c>
      <c r="C6" s="116" t="s">
        <v>7</v>
      </c>
      <c r="D6" s="120">
        <v>3500</v>
      </c>
      <c r="E6" s="116">
        <v>70</v>
      </c>
      <c r="F6" s="116"/>
      <c r="G6" s="116">
        <f>PRODUCT(F5,F3,E6)</f>
        <v>35000</v>
      </c>
      <c r="H6" s="118" t="s">
        <v>40</v>
      </c>
    </row>
    <row r="7" spans="2:8" x14ac:dyDescent="0.3">
      <c r="B7" s="116" t="s">
        <v>8</v>
      </c>
      <c r="C7" s="116" t="s">
        <v>9</v>
      </c>
      <c r="D7" s="120">
        <v>3000</v>
      </c>
      <c r="E7" s="116"/>
      <c r="F7" s="116">
        <v>80</v>
      </c>
      <c r="G7" s="117"/>
      <c r="H7" s="116"/>
    </row>
    <row r="8" spans="2:8" x14ac:dyDescent="0.3">
      <c r="B8" s="116" t="s">
        <v>10</v>
      </c>
      <c r="C8" s="117" t="s">
        <v>41</v>
      </c>
      <c r="D8" s="120">
        <v>4000</v>
      </c>
      <c r="E8" s="116">
        <v>90</v>
      </c>
      <c r="F8" s="116"/>
      <c r="G8" s="117">
        <f>AVERAGE(F7,F5,F3,E6,E4,E8)</f>
        <v>56.666666666666664</v>
      </c>
      <c r="H8" s="118" t="s">
        <v>42</v>
      </c>
    </row>
    <row r="9" spans="2:8" x14ac:dyDescent="0.3">
      <c r="B9" s="116" t="s">
        <v>12</v>
      </c>
      <c r="C9" s="117" t="s">
        <v>13</v>
      </c>
      <c r="D9" s="120">
        <v>4000</v>
      </c>
      <c r="E9" s="116"/>
      <c r="F9" s="116">
        <v>100</v>
      </c>
      <c r="G9" s="117"/>
      <c r="H9" s="116"/>
    </row>
    <row r="10" spans="2:8" x14ac:dyDescent="0.3">
      <c r="B10" s="116" t="s">
        <v>43</v>
      </c>
      <c r="C10" s="117"/>
      <c r="D10" s="121">
        <f>SUM(D3:D9)</f>
        <v>21500</v>
      </c>
      <c r="E10" s="121">
        <f>SUM(E3:E9)</f>
        <v>200</v>
      </c>
      <c r="F10" s="116"/>
      <c r="G10" s="117"/>
      <c r="H10" s="116"/>
    </row>
    <row r="11" spans="2:8" x14ac:dyDescent="0.3">
      <c r="B11" s="116"/>
      <c r="C11" s="116"/>
      <c r="D11" s="121"/>
      <c r="E11" s="116"/>
      <c r="F11" s="116"/>
      <c r="G11" s="118" t="s">
        <v>44</v>
      </c>
      <c r="H11" s="116">
        <f>COUNT(C3:D9)</f>
        <v>7</v>
      </c>
    </row>
    <row r="12" spans="2:8" x14ac:dyDescent="0.3">
      <c r="B12" s="122"/>
      <c r="C12" s="116"/>
      <c r="D12" s="121"/>
      <c r="E12" s="116"/>
      <c r="F12" s="116"/>
      <c r="G12" s="118" t="s">
        <v>45</v>
      </c>
      <c r="H12" s="116">
        <f>COUNTA(C3:D9)</f>
        <v>14</v>
      </c>
    </row>
    <row r="13" spans="2:8" x14ac:dyDescent="0.3">
      <c r="B13" s="122"/>
      <c r="C13" s="123">
        <f>MIN(D3:D9)</f>
        <v>1000</v>
      </c>
      <c r="D13" s="118" t="s">
        <v>46</v>
      </c>
      <c r="E13" s="123"/>
      <c r="F13" s="116"/>
      <c r="G13" s="118" t="s">
        <v>47</v>
      </c>
      <c r="H13" s="116">
        <f>COUNTBLANK(E3:F9)</f>
        <v>7</v>
      </c>
    </row>
    <row r="14" spans="2:8" x14ac:dyDescent="0.3">
      <c r="B14" s="122"/>
      <c r="C14" s="123">
        <f>MAX(D3:D9)</f>
        <v>5000</v>
      </c>
      <c r="D14" s="118" t="s">
        <v>48</v>
      </c>
      <c r="E14" s="123"/>
      <c r="F14" s="116"/>
      <c r="G14" s="116"/>
      <c r="H14" s="116"/>
    </row>
  </sheetData>
  <pageMargins left="0.7" right="0.7" top="0.75" bottom="0.75" header="0.3" footer="0.3"/>
  <pageSetup orientation="portrait"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E40D5-A3B2-412C-BD26-C8AE59FABC2C}">
  <dimension ref="B2:C7"/>
  <sheetViews>
    <sheetView workbookViewId="0">
      <selection activeCell="C19" sqref="C19"/>
    </sheetView>
  </sheetViews>
  <sheetFormatPr defaultRowHeight="14.4" x14ac:dyDescent="0.3"/>
  <cols>
    <col min="2" max="2" width="18.33203125" customWidth="1"/>
    <col min="3" max="3" width="13.44140625" customWidth="1"/>
  </cols>
  <sheetData>
    <row r="2" spans="2:3" ht="18" x14ac:dyDescent="0.35">
      <c r="B2" s="124" t="s">
        <v>189</v>
      </c>
      <c r="C2" s="124" t="s">
        <v>186</v>
      </c>
    </row>
    <row r="3" spans="2:3" ht="18" x14ac:dyDescent="0.35">
      <c r="B3" s="125" t="s">
        <v>190</v>
      </c>
      <c r="C3" s="125">
        <f>1*2+3*4/2</f>
        <v>8</v>
      </c>
    </row>
    <row r="4" spans="2:3" ht="18" x14ac:dyDescent="0.35">
      <c r="B4" s="125" t="s">
        <v>191</v>
      </c>
      <c r="C4" s="125">
        <f>2*3+3*4/3</f>
        <v>10</v>
      </c>
    </row>
    <row r="5" spans="2:3" ht="18" x14ac:dyDescent="0.35">
      <c r="B5" s="125" t="s">
        <v>192</v>
      </c>
      <c r="C5" s="125">
        <f>3*4-3*4/2</f>
        <v>6</v>
      </c>
    </row>
    <row r="6" spans="2:3" ht="18" x14ac:dyDescent="0.35">
      <c r="B6" s="126" t="s">
        <v>193</v>
      </c>
      <c r="C6" s="127">
        <f>1*(2+3)*4/3</f>
        <v>6.666666666666667</v>
      </c>
    </row>
    <row r="7" spans="2:3" ht="18" x14ac:dyDescent="0.35">
      <c r="B7" s="125" t="s">
        <v>194</v>
      </c>
      <c r="C7" s="128">
        <f>1*2/5+4-3</f>
        <v>1.4000000000000004</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CA83A-C9CC-4D30-99F9-3CE2E14329BD}">
  <dimension ref="B2:K42"/>
  <sheetViews>
    <sheetView workbookViewId="0">
      <selection activeCell="C19" sqref="C19"/>
    </sheetView>
  </sheetViews>
  <sheetFormatPr defaultColWidth="14.21875" defaultRowHeight="13.2" x14ac:dyDescent="0.25"/>
  <cols>
    <col min="1" max="1" width="8.21875" style="75" customWidth="1"/>
    <col min="2" max="2" width="17.44140625" style="75" customWidth="1"/>
    <col min="3" max="3" width="10.77734375" style="75" customWidth="1"/>
    <col min="4" max="4" width="22.77734375" style="75" customWidth="1"/>
    <col min="5" max="5" width="17.88671875" style="75" customWidth="1"/>
    <col min="6" max="6" width="11.21875" style="75" customWidth="1"/>
    <col min="7" max="7" width="14.21875" style="75" customWidth="1"/>
    <col min="8" max="8" width="13.77734375" style="75" customWidth="1"/>
    <col min="9" max="9" width="24.77734375" style="75" customWidth="1"/>
    <col min="10" max="10" width="12" style="75" customWidth="1"/>
    <col min="11" max="11" width="12.88671875" style="75" customWidth="1"/>
    <col min="12" max="12" width="12.33203125" style="75" customWidth="1"/>
    <col min="13" max="13" width="15.33203125" style="75" customWidth="1"/>
    <col min="14" max="16384" width="14.21875" style="75"/>
  </cols>
  <sheetData>
    <row r="2" spans="2:11" ht="13.8" x14ac:dyDescent="0.25">
      <c r="B2" s="91" t="s">
        <v>18</v>
      </c>
      <c r="C2" s="91" t="s">
        <v>19</v>
      </c>
      <c r="D2" s="91" t="s">
        <v>16</v>
      </c>
      <c r="E2" s="91" t="s">
        <v>17</v>
      </c>
      <c r="G2" s="92" t="s">
        <v>19</v>
      </c>
      <c r="H2" s="92" t="s">
        <v>16</v>
      </c>
      <c r="I2" s="92" t="s">
        <v>17</v>
      </c>
    </row>
    <row r="3" spans="2:11" x14ac:dyDescent="0.25">
      <c r="B3" s="2">
        <v>36533</v>
      </c>
      <c r="C3" s="2" t="s">
        <v>20</v>
      </c>
      <c r="D3" s="3" t="s">
        <v>25</v>
      </c>
      <c r="E3" s="3">
        <v>2000</v>
      </c>
      <c r="G3" s="93" t="s">
        <v>24</v>
      </c>
      <c r="H3" s="93" t="s">
        <v>29</v>
      </c>
      <c r="I3" s="93" t="s">
        <v>159</v>
      </c>
    </row>
    <row r="4" spans="2:11" x14ac:dyDescent="0.25">
      <c r="B4" s="2">
        <v>36531</v>
      </c>
      <c r="C4" s="2" t="s">
        <v>20</v>
      </c>
      <c r="D4" s="3" t="s">
        <v>21</v>
      </c>
      <c r="E4" s="3">
        <v>4000</v>
      </c>
    </row>
    <row r="5" spans="2:11" ht="13.8" x14ac:dyDescent="0.25">
      <c r="B5" s="2">
        <v>36542</v>
      </c>
      <c r="C5" s="2" t="s">
        <v>20</v>
      </c>
      <c r="D5" s="3" t="s">
        <v>22</v>
      </c>
      <c r="E5" s="3">
        <v>6000</v>
      </c>
      <c r="G5" s="92" t="s">
        <v>19</v>
      </c>
      <c r="H5" s="92" t="s">
        <v>16</v>
      </c>
      <c r="I5" s="92" t="s">
        <v>17</v>
      </c>
      <c r="K5" s="75" t="str">
        <f ca="1">_xlfn.FORMULATEXT(F13)</f>
        <v>=SUMIFS(E3:E27, C3:C27, "north", D3:D27, "Wrist watch")</v>
      </c>
    </row>
    <row r="6" spans="2:11" x14ac:dyDescent="0.25">
      <c r="B6" s="2">
        <v>36535</v>
      </c>
      <c r="C6" s="2" t="s">
        <v>20</v>
      </c>
      <c r="D6" s="3" t="s">
        <v>22</v>
      </c>
      <c r="E6" s="3">
        <v>8000</v>
      </c>
      <c r="G6" s="93" t="s">
        <v>33</v>
      </c>
      <c r="H6" s="93" t="s">
        <v>26</v>
      </c>
      <c r="I6" s="93" t="s">
        <v>153</v>
      </c>
    </row>
    <row r="7" spans="2:11" x14ac:dyDescent="0.25">
      <c r="B7" s="2">
        <v>36530</v>
      </c>
      <c r="C7" s="2" t="s">
        <v>20</v>
      </c>
      <c r="D7" s="3" t="s">
        <v>23</v>
      </c>
      <c r="E7" s="3">
        <v>10000</v>
      </c>
    </row>
    <row r="8" spans="2:11" ht="13.8" x14ac:dyDescent="0.25">
      <c r="B8" s="2">
        <v>36531</v>
      </c>
      <c r="C8" s="2" t="s">
        <v>20</v>
      </c>
      <c r="D8" s="3" t="s">
        <v>23</v>
      </c>
      <c r="E8" s="3">
        <v>10000</v>
      </c>
      <c r="G8" s="92" t="s">
        <v>19</v>
      </c>
      <c r="H8" s="92" t="s">
        <v>16</v>
      </c>
      <c r="I8" s="92" t="s">
        <v>17</v>
      </c>
    </row>
    <row r="9" spans="2:11" x14ac:dyDescent="0.25">
      <c r="B9" s="2">
        <v>36526</v>
      </c>
      <c r="C9" s="2" t="s">
        <v>24</v>
      </c>
      <c r="D9" s="3" t="s">
        <v>26</v>
      </c>
      <c r="E9" s="3">
        <v>14000</v>
      </c>
      <c r="G9" s="93" t="s">
        <v>20</v>
      </c>
      <c r="H9" s="93" t="s">
        <v>22</v>
      </c>
      <c r="I9" s="93" t="s">
        <v>154</v>
      </c>
    </row>
    <row r="10" spans="2:11" x14ac:dyDescent="0.25">
      <c r="B10" s="2">
        <v>36528</v>
      </c>
      <c r="C10" s="2" t="s">
        <v>24</v>
      </c>
      <c r="D10" s="3" t="s">
        <v>27</v>
      </c>
      <c r="E10" s="3">
        <v>16000</v>
      </c>
    </row>
    <row r="11" spans="2:11" x14ac:dyDescent="0.25">
      <c r="B11" s="2">
        <v>36544</v>
      </c>
      <c r="C11" s="3" t="s">
        <v>24</v>
      </c>
      <c r="D11" s="3" t="s">
        <v>27</v>
      </c>
      <c r="E11" s="3">
        <v>18000</v>
      </c>
    </row>
    <row r="12" spans="2:11" x14ac:dyDescent="0.25">
      <c r="B12" s="2">
        <v>36545</v>
      </c>
      <c r="C12" s="3" t="s">
        <v>24</v>
      </c>
      <c r="D12" s="3" t="s">
        <v>28</v>
      </c>
      <c r="E12" s="3">
        <v>20000</v>
      </c>
      <c r="F12" s="94" t="s">
        <v>160</v>
      </c>
      <c r="G12" s="94" t="s">
        <v>161</v>
      </c>
      <c r="H12" s="94" t="s">
        <v>162</v>
      </c>
      <c r="I12" s="95" t="s">
        <v>163</v>
      </c>
      <c r="J12" s="96" t="s">
        <v>164</v>
      </c>
      <c r="K12" s="97"/>
    </row>
    <row r="13" spans="2:11" x14ac:dyDescent="0.25">
      <c r="B13" s="2">
        <v>36534</v>
      </c>
      <c r="C13" s="2" t="s">
        <v>24</v>
      </c>
      <c r="D13" s="3" t="s">
        <v>29</v>
      </c>
      <c r="E13" s="3">
        <v>22000</v>
      </c>
      <c r="F13" s="75">
        <f>SUMIFS(E3:E27, C3:C27, "north", D3:D27, "Wrist watch")</f>
        <v>47000</v>
      </c>
      <c r="G13" s="93">
        <f>DSUM(B2:E27, E2, G2:I3)</f>
        <v>47000</v>
      </c>
      <c r="H13" s="93">
        <f>DAVERAGE(B2:E27, E2, G2:I3)</f>
        <v>23500</v>
      </c>
      <c r="I13" s="98">
        <f>DMIN(B2:E27, E2, G2:I3)</f>
        <v>22000</v>
      </c>
      <c r="J13" s="99">
        <f>DMAX(B2:E27, E2, G2:I3)</f>
        <v>25000</v>
      </c>
    </row>
    <row r="14" spans="2:11" x14ac:dyDescent="0.25">
      <c r="B14" s="2">
        <v>36535</v>
      </c>
      <c r="C14" s="2" t="s">
        <v>24</v>
      </c>
      <c r="D14" s="3" t="s">
        <v>29</v>
      </c>
      <c r="E14" s="3">
        <v>25000</v>
      </c>
      <c r="G14" s="93"/>
      <c r="H14" s="93"/>
      <c r="I14" s="98"/>
      <c r="J14" s="99"/>
    </row>
    <row r="15" spans="2:11" x14ac:dyDescent="0.25">
      <c r="B15" s="2">
        <v>36539</v>
      </c>
      <c r="C15" s="2" t="s">
        <v>30</v>
      </c>
      <c r="D15" s="3" t="s">
        <v>25</v>
      </c>
      <c r="E15" s="3">
        <v>10000</v>
      </c>
      <c r="G15" s="93">
        <f>DSUM(B2:E27, E2, G5:I6)</f>
        <v>107000</v>
      </c>
      <c r="H15" s="93">
        <f>DAVERAGE(B2:E27, E2, G5:I6)</f>
        <v>53500</v>
      </c>
      <c r="I15" s="98">
        <f>DMIN(B2:E27, E2, G5:I6)</f>
        <v>50000</v>
      </c>
      <c r="J15" s="99">
        <f>DMAX(B2:E27, E2, G5:I6)</f>
        <v>57000</v>
      </c>
    </row>
    <row r="16" spans="2:11" x14ac:dyDescent="0.25">
      <c r="B16" s="2">
        <v>36540</v>
      </c>
      <c r="C16" s="2" t="s">
        <v>30</v>
      </c>
      <c r="D16" s="3" t="s">
        <v>25</v>
      </c>
      <c r="E16" s="3" t="s">
        <v>165</v>
      </c>
      <c r="G16" s="93"/>
      <c r="H16" s="93"/>
      <c r="I16" s="98"/>
      <c r="J16" s="99"/>
    </row>
    <row r="17" spans="2:10" x14ac:dyDescent="0.25">
      <c r="B17" s="2">
        <v>36540</v>
      </c>
      <c r="C17" s="2" t="s">
        <v>30</v>
      </c>
      <c r="D17" s="3" t="s">
        <v>25</v>
      </c>
      <c r="E17" s="3">
        <v>28000</v>
      </c>
      <c r="G17" s="93"/>
      <c r="H17" s="93"/>
      <c r="I17" s="98"/>
      <c r="J17" s="99"/>
    </row>
    <row r="18" spans="2:10" x14ac:dyDescent="0.25">
      <c r="B18" s="2">
        <v>36538</v>
      </c>
      <c r="C18" s="2" t="s">
        <v>30</v>
      </c>
      <c r="D18" s="3" t="s">
        <v>31</v>
      </c>
      <c r="E18" s="3">
        <v>30000</v>
      </c>
      <c r="G18" s="93">
        <f>DSUM(B2:E27, E2, G8:I9)</f>
        <v>14000</v>
      </c>
      <c r="H18" s="93">
        <f>DAVERAGE(B2:E27, E2, G8:I9)</f>
        <v>7000</v>
      </c>
      <c r="I18" s="98">
        <f>DMIN(B2:E27, E2, G8:I9)</f>
        <v>6000</v>
      </c>
      <c r="J18" s="99">
        <f>DMAX(B2:E27, E2, G8:I9)</f>
        <v>8000</v>
      </c>
    </row>
    <row r="19" spans="2:10" x14ac:dyDescent="0.25">
      <c r="B19" s="2">
        <v>36537</v>
      </c>
      <c r="C19" s="2" t="s">
        <v>30</v>
      </c>
      <c r="D19" s="3" t="s">
        <v>32</v>
      </c>
      <c r="E19" s="3">
        <v>32000</v>
      </c>
      <c r="G19" s="100"/>
      <c r="H19" s="100"/>
      <c r="I19" s="101"/>
      <c r="J19" s="102"/>
    </row>
    <row r="20" spans="2:10" x14ac:dyDescent="0.25">
      <c r="B20" s="2">
        <v>36538</v>
      </c>
      <c r="C20" s="2" t="s">
        <v>30</v>
      </c>
      <c r="D20" s="3" t="s">
        <v>32</v>
      </c>
      <c r="E20" s="3">
        <v>20000</v>
      </c>
    </row>
    <row r="21" spans="2:10" x14ac:dyDescent="0.25">
      <c r="B21" s="2">
        <v>36536</v>
      </c>
      <c r="C21" s="2" t="s">
        <v>33</v>
      </c>
      <c r="D21" s="3" t="s">
        <v>26</v>
      </c>
      <c r="E21" s="3">
        <v>36000</v>
      </c>
      <c r="G21" s="96" t="s">
        <v>166</v>
      </c>
      <c r="H21" s="96" t="s">
        <v>167</v>
      </c>
      <c r="I21" s="96" t="s">
        <v>168</v>
      </c>
    </row>
    <row r="22" spans="2:10" x14ac:dyDescent="0.25">
      <c r="B22" s="2">
        <v>36537</v>
      </c>
      <c r="C22" s="2" t="s">
        <v>33</v>
      </c>
      <c r="D22" s="3" t="s">
        <v>26</v>
      </c>
      <c r="E22" s="3" t="s">
        <v>169</v>
      </c>
      <c r="H22" s="99"/>
      <c r="I22" s="99"/>
    </row>
    <row r="23" spans="2:10" x14ac:dyDescent="0.25">
      <c r="B23" s="2">
        <v>36537</v>
      </c>
      <c r="C23" s="2" t="s">
        <v>33</v>
      </c>
      <c r="D23" s="3" t="s">
        <v>26</v>
      </c>
      <c r="E23" s="3">
        <v>50000</v>
      </c>
      <c r="G23" s="99">
        <f>DCOUNT(B2:E27, E2, G2:I3)</f>
        <v>2</v>
      </c>
      <c r="H23" s="75">
        <f>DCOUNTA(B2:E27, E2, G2:I3)</f>
        <v>2</v>
      </c>
      <c r="I23" s="99">
        <f>DPRODUCT(B2:E27, E2, G2:I3)</f>
        <v>550000000</v>
      </c>
    </row>
    <row r="24" spans="2:10" x14ac:dyDescent="0.25">
      <c r="B24" s="2">
        <v>36538</v>
      </c>
      <c r="C24" s="2" t="s">
        <v>33</v>
      </c>
      <c r="D24" s="3" t="s">
        <v>26</v>
      </c>
      <c r="E24" s="3">
        <v>57000</v>
      </c>
      <c r="G24" s="99"/>
      <c r="H24" s="99"/>
      <c r="I24" s="99"/>
    </row>
    <row r="25" spans="2:10" x14ac:dyDescent="0.25">
      <c r="B25" s="2">
        <v>36532</v>
      </c>
      <c r="C25" s="2" t="s">
        <v>33</v>
      </c>
      <c r="D25" s="3" t="s">
        <v>31</v>
      </c>
      <c r="E25" s="3">
        <v>38000</v>
      </c>
      <c r="G25" s="99">
        <f>DCOUNT(B2:E27, E2, G5:I6)</f>
        <v>2</v>
      </c>
      <c r="H25" s="99">
        <f>DCOUNTA(B2:E27, E2, G5:I6)</f>
        <v>2</v>
      </c>
      <c r="I25" s="99">
        <f>DPRODUCT(B2:E27, E2, G5:I6)</f>
        <v>2850000000</v>
      </c>
    </row>
    <row r="26" spans="2:10" x14ac:dyDescent="0.25">
      <c r="B26" s="103">
        <v>36547</v>
      </c>
      <c r="C26" s="104" t="s">
        <v>33</v>
      </c>
      <c r="D26" s="104" t="s">
        <v>22</v>
      </c>
      <c r="E26" s="3">
        <v>40000</v>
      </c>
      <c r="G26" s="99">
        <f>DCOUNT(B2:E27, E2, G5:H6)</f>
        <v>3</v>
      </c>
      <c r="H26" s="99">
        <f>DCOUNTA(B2:E27, E2, G5:H6)</f>
        <v>4</v>
      </c>
      <c r="I26" s="99">
        <f>DPRODUCT(B2:E27, E2, G5:H6)</f>
        <v>102600000000000</v>
      </c>
    </row>
    <row r="27" spans="2:10" x14ac:dyDescent="0.25">
      <c r="B27" s="105">
        <v>36529</v>
      </c>
      <c r="C27" s="105" t="s">
        <v>33</v>
      </c>
      <c r="D27" s="106" t="s">
        <v>28</v>
      </c>
      <c r="E27" s="3">
        <v>42000</v>
      </c>
      <c r="G27" s="99"/>
      <c r="H27" s="99"/>
      <c r="I27" s="99"/>
    </row>
    <row r="28" spans="2:10" x14ac:dyDescent="0.25">
      <c r="B28" s="107"/>
      <c r="C28" s="107"/>
      <c r="D28" s="108"/>
      <c r="G28" s="99">
        <f>DCOUNT(B2:E27, E2, G8:I9)</f>
        <v>2</v>
      </c>
      <c r="H28" s="99">
        <f>DCOUNTA(B2:E27, E2, G8:I9)</f>
        <v>2</v>
      </c>
      <c r="I28" s="99">
        <f>DPRODUCT(B2:E27, E2, G8:I9)</f>
        <v>48000000</v>
      </c>
    </row>
    <row r="29" spans="2:10" x14ac:dyDescent="0.25">
      <c r="B29" s="107"/>
      <c r="C29" s="107"/>
      <c r="D29" s="108"/>
    </row>
    <row r="30" spans="2:10" x14ac:dyDescent="0.25">
      <c r="E30" s="129" t="e">
        <f>DSUM(#REF!, C19, E19:G20)</f>
        <v>#REF!</v>
      </c>
    </row>
    <row r="32" spans="2:10" x14ac:dyDescent="0.25">
      <c r="C32" s="129">
        <f>C30</f>
        <v>0</v>
      </c>
    </row>
    <row r="33" spans="4:7" x14ac:dyDescent="0.25">
      <c r="G33" s="129" t="e">
        <f>DPRODUCT(#REF!, C12, E12:G13)</f>
        <v>#REF!</v>
      </c>
    </row>
    <row r="41" spans="4:7" x14ac:dyDescent="0.25">
      <c r="F41" s="75">
        <f>AVERAGE(E3:E27)</f>
        <v>23391.304347826088</v>
      </c>
    </row>
    <row r="42" spans="4:7" x14ac:dyDescent="0.25">
      <c r="D42" s="75">
        <f>SUM(E3:E27)</f>
        <v>538000</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A5485-278E-4907-976C-D458BE056781}">
  <dimension ref="E5:F10"/>
  <sheetViews>
    <sheetView topLeftCell="A4" workbookViewId="0">
      <selection activeCell="H32" sqref="H32"/>
    </sheetView>
  </sheetViews>
  <sheetFormatPr defaultRowHeight="14.4" x14ac:dyDescent="0.3"/>
  <cols>
    <col min="3" max="3" width="11.6640625" customWidth="1"/>
    <col min="4" max="4" width="11.21875" customWidth="1"/>
    <col min="5" max="5" width="19.33203125" customWidth="1"/>
    <col min="6" max="6" width="15.21875" customWidth="1"/>
    <col min="7" max="7" width="11.77734375" customWidth="1"/>
    <col min="8" max="8" width="10.88671875" customWidth="1"/>
  </cols>
  <sheetData>
    <row r="5" spans="5:6" ht="16.95" customHeight="1" x14ac:dyDescent="0.4">
      <c r="E5" s="685" t="s">
        <v>189</v>
      </c>
      <c r="F5" s="685" t="s">
        <v>186</v>
      </c>
    </row>
    <row r="6" spans="5:6" ht="19.2" x14ac:dyDescent="0.4">
      <c r="E6" s="686" t="s">
        <v>190</v>
      </c>
      <c r="F6" s="686">
        <f>1*2+3*4/2</f>
        <v>8</v>
      </c>
    </row>
    <row r="7" spans="5:6" ht="16.05" customHeight="1" x14ac:dyDescent="0.4">
      <c r="E7" s="686" t="s">
        <v>191</v>
      </c>
      <c r="F7" s="686">
        <f>2*3+3*4/3</f>
        <v>10</v>
      </c>
    </row>
    <row r="8" spans="5:6" ht="16.05" customHeight="1" x14ac:dyDescent="0.4">
      <c r="E8" s="686" t="s">
        <v>192</v>
      </c>
      <c r="F8" s="686">
        <f>3*4-3*4/2</f>
        <v>6</v>
      </c>
    </row>
    <row r="9" spans="5:6" ht="19.2" x14ac:dyDescent="0.4">
      <c r="E9" s="687" t="s">
        <v>193</v>
      </c>
      <c r="F9" s="688">
        <f>1*(2+3)*4/3</f>
        <v>6.666666666666667</v>
      </c>
    </row>
    <row r="10" spans="5:6" ht="19.2" x14ac:dyDescent="0.4">
      <c r="E10" s="686" t="s">
        <v>194</v>
      </c>
      <c r="F10" s="689">
        <f>1*2/5+4-3</f>
        <v>1.4000000000000004</v>
      </c>
    </row>
  </sheetData>
  <sheetProtection insertRows="0" sort="0"/>
  <phoneticPr fontId="68" type="noConversion"/>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0204C-7B9C-4012-9EE4-E5E8AC8FAD75}">
  <dimension ref="B3:J36"/>
  <sheetViews>
    <sheetView topLeftCell="A11" workbookViewId="0">
      <selection activeCell="C19" sqref="C19"/>
    </sheetView>
  </sheetViews>
  <sheetFormatPr defaultColWidth="8.77734375" defaultRowHeight="15.6" x14ac:dyDescent="0.3"/>
  <cols>
    <col min="1" max="1" width="8.77734375" style="130"/>
    <col min="2" max="2" width="25.33203125" style="130" customWidth="1"/>
    <col min="3" max="3" width="9.88671875" style="130" customWidth="1"/>
    <col min="4" max="4" width="15.44140625" style="130" customWidth="1"/>
    <col min="5" max="5" width="18" style="130" customWidth="1"/>
    <col min="6" max="6" width="8.77734375" style="130"/>
    <col min="7" max="7" width="23.33203125" style="130" customWidth="1"/>
    <col min="8" max="8" width="9.109375" style="130" customWidth="1"/>
    <col min="9" max="9" width="15.5546875" style="130" customWidth="1"/>
    <col min="10" max="10" width="16" style="130" customWidth="1"/>
    <col min="11" max="16384" width="8.77734375" style="130"/>
  </cols>
  <sheetData>
    <row r="3" spans="2:10" ht="15" customHeight="1" x14ac:dyDescent="0.3">
      <c r="B3" s="131" t="s">
        <v>195</v>
      </c>
      <c r="C3" s="4"/>
      <c r="D3" s="131" t="s">
        <v>196</v>
      </c>
      <c r="E3" s="131" t="s">
        <v>53</v>
      </c>
      <c r="G3" s="131" t="s">
        <v>195</v>
      </c>
      <c r="H3" s="4"/>
      <c r="I3" s="131" t="s">
        <v>196</v>
      </c>
      <c r="J3" s="131" t="s">
        <v>53</v>
      </c>
    </row>
    <row r="4" spans="2:10" ht="17.55" customHeight="1" x14ac:dyDescent="0.3">
      <c r="B4" s="132" t="s">
        <v>113</v>
      </c>
      <c r="D4" s="133" t="s">
        <v>197</v>
      </c>
      <c r="E4" s="133" t="s">
        <v>198</v>
      </c>
      <c r="G4" s="134" t="s">
        <v>199</v>
      </c>
      <c r="I4" s="135" t="s">
        <v>197</v>
      </c>
      <c r="J4" s="135" t="s">
        <v>198</v>
      </c>
    </row>
    <row r="5" spans="2:10" ht="14.55" customHeight="1" x14ac:dyDescent="0.3">
      <c r="B5" s="134" t="s">
        <v>114</v>
      </c>
      <c r="D5" s="135" t="s">
        <v>200</v>
      </c>
      <c r="E5" s="135" t="s">
        <v>70</v>
      </c>
      <c r="G5" s="134" t="s">
        <v>201</v>
      </c>
      <c r="I5" s="135" t="s">
        <v>200</v>
      </c>
      <c r="J5" s="135" t="s">
        <v>70</v>
      </c>
    </row>
    <row r="6" spans="2:10" ht="16.05" customHeight="1" x14ac:dyDescent="0.3">
      <c r="B6" s="134" t="s">
        <v>202</v>
      </c>
      <c r="D6" s="135" t="s">
        <v>203</v>
      </c>
      <c r="E6" s="135" t="s">
        <v>204</v>
      </c>
      <c r="G6" s="134" t="s">
        <v>205</v>
      </c>
      <c r="I6" s="135" t="s">
        <v>203</v>
      </c>
      <c r="J6" s="135" t="s">
        <v>204</v>
      </c>
    </row>
    <row r="7" spans="2:10" ht="14.55" customHeight="1" x14ac:dyDescent="0.3">
      <c r="B7" s="134" t="s">
        <v>206</v>
      </c>
      <c r="D7" s="135" t="s">
        <v>207</v>
      </c>
      <c r="E7" s="135" t="s">
        <v>208</v>
      </c>
      <c r="G7" s="134" t="s">
        <v>209</v>
      </c>
      <c r="I7" s="135" t="s">
        <v>207</v>
      </c>
      <c r="J7" s="135" t="s">
        <v>208</v>
      </c>
    </row>
    <row r="8" spans="2:10" ht="15" customHeight="1" x14ac:dyDescent="0.3">
      <c r="B8" s="134" t="s">
        <v>116</v>
      </c>
      <c r="D8" s="135" t="s">
        <v>210</v>
      </c>
      <c r="E8" s="135" t="s">
        <v>211</v>
      </c>
      <c r="G8" s="134" t="s">
        <v>212</v>
      </c>
      <c r="I8" s="135" t="s">
        <v>210</v>
      </c>
      <c r="J8" s="135" t="s">
        <v>211</v>
      </c>
    </row>
    <row r="9" spans="2:10" ht="15" customHeight="1" x14ac:dyDescent="0.3">
      <c r="B9" s="134" t="s">
        <v>213</v>
      </c>
      <c r="D9" s="135" t="s">
        <v>214</v>
      </c>
      <c r="E9" s="135" t="s">
        <v>70</v>
      </c>
      <c r="G9" s="134" t="s">
        <v>215</v>
      </c>
      <c r="I9" s="135" t="s">
        <v>214</v>
      </c>
      <c r="J9" s="135" t="s">
        <v>70</v>
      </c>
    </row>
    <row r="10" spans="2:10" ht="14.55" customHeight="1" x14ac:dyDescent="0.3">
      <c r="B10" s="134" t="s">
        <v>118</v>
      </c>
      <c r="D10" s="135" t="s">
        <v>216</v>
      </c>
      <c r="E10" s="135" t="s">
        <v>217</v>
      </c>
      <c r="G10" s="134" t="s">
        <v>218</v>
      </c>
      <c r="I10" s="135" t="s">
        <v>216</v>
      </c>
      <c r="J10" s="135" t="s">
        <v>217</v>
      </c>
    </row>
    <row r="11" spans="2:10" ht="15" customHeight="1" x14ac:dyDescent="0.3">
      <c r="B11" s="134" t="s">
        <v>119</v>
      </c>
      <c r="D11" s="135" t="s">
        <v>219</v>
      </c>
      <c r="E11" s="135" t="s">
        <v>220</v>
      </c>
      <c r="G11" s="134" t="s">
        <v>221</v>
      </c>
      <c r="I11" s="135" t="s">
        <v>219</v>
      </c>
      <c r="J11" s="135" t="s">
        <v>220</v>
      </c>
    </row>
    <row r="12" spans="2:10" ht="18.45" customHeight="1" x14ac:dyDescent="0.3">
      <c r="B12" s="134" t="s">
        <v>120</v>
      </c>
      <c r="D12" s="135" t="s">
        <v>222</v>
      </c>
      <c r="E12" s="135" t="s">
        <v>223</v>
      </c>
      <c r="G12" s="134" t="s">
        <v>224</v>
      </c>
      <c r="I12" s="135" t="s">
        <v>222</v>
      </c>
      <c r="J12" s="135" t="s">
        <v>223</v>
      </c>
    </row>
    <row r="14" spans="2:10" ht="15.45" customHeight="1" x14ac:dyDescent="0.3"/>
    <row r="15" spans="2:10" x14ac:dyDescent="0.3">
      <c r="B15" s="131" t="s">
        <v>195</v>
      </c>
      <c r="C15" s="4"/>
      <c r="D15" s="131" t="s">
        <v>196</v>
      </c>
      <c r="E15" s="131" t="s">
        <v>53</v>
      </c>
    </row>
    <row r="16" spans="2:10" x14ac:dyDescent="0.3">
      <c r="B16" s="134" t="s">
        <v>225</v>
      </c>
      <c r="D16" s="135" t="s">
        <v>197</v>
      </c>
      <c r="E16" s="135" t="s">
        <v>198</v>
      </c>
      <c r="G16" s="131" t="s">
        <v>195</v>
      </c>
      <c r="H16" s="130" t="s">
        <v>307</v>
      </c>
      <c r="I16" s="136" t="s">
        <v>196</v>
      </c>
      <c r="J16" s="131" t="s">
        <v>53</v>
      </c>
    </row>
    <row r="17" spans="2:10" ht="16.05" customHeight="1" x14ac:dyDescent="0.3">
      <c r="B17" s="134" t="s">
        <v>226</v>
      </c>
      <c r="D17" s="135" t="s">
        <v>200</v>
      </c>
      <c r="E17" s="135" t="s">
        <v>70</v>
      </c>
      <c r="G17" s="134" t="s">
        <v>227</v>
      </c>
      <c r="H17" s="130">
        <v>1</v>
      </c>
      <c r="I17" s="135" t="s">
        <v>197</v>
      </c>
      <c r="J17" s="135" t="s">
        <v>198</v>
      </c>
    </row>
    <row r="18" spans="2:10" x14ac:dyDescent="0.3">
      <c r="B18" s="134" t="s">
        <v>228</v>
      </c>
      <c r="D18" s="135" t="s">
        <v>203</v>
      </c>
      <c r="E18" s="135" t="s">
        <v>204</v>
      </c>
      <c r="G18" s="134" t="s">
        <v>229</v>
      </c>
      <c r="H18" s="130">
        <v>2</v>
      </c>
      <c r="I18" s="135" t="s">
        <v>200</v>
      </c>
      <c r="J18" s="135" t="s">
        <v>70</v>
      </c>
    </row>
    <row r="19" spans="2:10" ht="16.95" customHeight="1" x14ac:dyDescent="0.3">
      <c r="B19" s="134" t="s">
        <v>230</v>
      </c>
      <c r="D19" s="135" t="s">
        <v>207</v>
      </c>
      <c r="E19" s="135" t="s">
        <v>208</v>
      </c>
      <c r="G19" s="134" t="s">
        <v>231</v>
      </c>
      <c r="H19" s="130">
        <v>3</v>
      </c>
      <c r="I19" s="135" t="s">
        <v>203</v>
      </c>
      <c r="J19" s="135" t="s">
        <v>204</v>
      </c>
    </row>
    <row r="20" spans="2:10" x14ac:dyDescent="0.3">
      <c r="B20" s="134" t="s">
        <v>232</v>
      </c>
      <c r="D20" s="135" t="s">
        <v>210</v>
      </c>
      <c r="E20" s="135" t="s">
        <v>211</v>
      </c>
      <c r="G20" s="134" t="s">
        <v>233</v>
      </c>
      <c r="H20" s="130">
        <v>4</v>
      </c>
      <c r="I20" s="135" t="s">
        <v>207</v>
      </c>
      <c r="J20" s="135" t="s">
        <v>208</v>
      </c>
    </row>
    <row r="21" spans="2:10" ht="18" customHeight="1" x14ac:dyDescent="0.3">
      <c r="B21" s="134" t="s">
        <v>234</v>
      </c>
      <c r="D21" s="135" t="s">
        <v>214</v>
      </c>
      <c r="E21" s="135" t="s">
        <v>70</v>
      </c>
      <c r="G21" s="134" t="s">
        <v>235</v>
      </c>
      <c r="H21" s="130">
        <v>5</v>
      </c>
      <c r="I21" s="135" t="s">
        <v>210</v>
      </c>
      <c r="J21" s="135" t="s">
        <v>211</v>
      </c>
    </row>
    <row r="22" spans="2:10" x14ac:dyDescent="0.3">
      <c r="B22" s="134" t="s">
        <v>236</v>
      </c>
      <c r="D22" s="135" t="s">
        <v>216</v>
      </c>
      <c r="E22" s="135" t="s">
        <v>217</v>
      </c>
      <c r="G22" s="134" t="s">
        <v>237</v>
      </c>
      <c r="H22" s="130">
        <v>6</v>
      </c>
      <c r="I22" s="135" t="s">
        <v>214</v>
      </c>
      <c r="J22" s="135" t="s">
        <v>70</v>
      </c>
    </row>
    <row r="23" spans="2:10" x14ac:dyDescent="0.3">
      <c r="B23" s="134" t="s">
        <v>238</v>
      </c>
      <c r="D23" s="135" t="s">
        <v>219</v>
      </c>
      <c r="E23" s="135" t="s">
        <v>220</v>
      </c>
      <c r="G23" s="134" t="s">
        <v>239</v>
      </c>
      <c r="H23" s="130">
        <v>7</v>
      </c>
      <c r="I23" s="135" t="s">
        <v>216</v>
      </c>
      <c r="J23" s="135" t="s">
        <v>217</v>
      </c>
    </row>
    <row r="24" spans="2:10" ht="16.5" customHeight="1" x14ac:dyDescent="0.3">
      <c r="B24" s="134" t="s">
        <v>240</v>
      </c>
      <c r="D24" s="135" t="s">
        <v>222</v>
      </c>
      <c r="E24" s="135" t="s">
        <v>223</v>
      </c>
      <c r="G24" s="134" t="s">
        <v>241</v>
      </c>
      <c r="H24" s="130">
        <v>8</v>
      </c>
      <c r="I24" s="135" t="s">
        <v>219</v>
      </c>
      <c r="J24" s="135" t="s">
        <v>220</v>
      </c>
    </row>
    <row r="25" spans="2:10" x14ac:dyDescent="0.3">
      <c r="G25" s="134" t="s">
        <v>242</v>
      </c>
      <c r="H25" s="130">
        <v>9</v>
      </c>
      <c r="I25" s="135" t="s">
        <v>222</v>
      </c>
      <c r="J25" s="135" t="s">
        <v>223</v>
      </c>
    </row>
    <row r="26" spans="2:10" x14ac:dyDescent="0.3">
      <c r="G26" s="137"/>
      <c r="H26" s="138"/>
    </row>
    <row r="27" spans="2:10" x14ac:dyDescent="0.3">
      <c r="B27" s="131" t="s">
        <v>195</v>
      </c>
      <c r="C27" s="4"/>
      <c r="D27" s="131" t="s">
        <v>196</v>
      </c>
      <c r="E27" s="131" t="s">
        <v>53</v>
      </c>
    </row>
    <row r="28" spans="2:10" x14ac:dyDescent="0.3">
      <c r="B28" s="134" t="s">
        <v>243</v>
      </c>
      <c r="D28" s="135" t="s">
        <v>197</v>
      </c>
      <c r="E28" s="135" t="s">
        <v>198</v>
      </c>
      <c r="G28" s="139"/>
    </row>
    <row r="29" spans="2:10" x14ac:dyDescent="0.3">
      <c r="B29" s="134" t="s">
        <v>244</v>
      </c>
      <c r="D29" s="135" t="s">
        <v>200</v>
      </c>
      <c r="E29" s="135" t="s">
        <v>70</v>
      </c>
    </row>
    <row r="30" spans="2:10" x14ac:dyDescent="0.3">
      <c r="B30" s="134" t="s">
        <v>245</v>
      </c>
      <c r="D30" s="135" t="s">
        <v>203</v>
      </c>
      <c r="E30" s="135" t="s">
        <v>204</v>
      </c>
    </row>
    <row r="31" spans="2:10" x14ac:dyDescent="0.3">
      <c r="B31" s="134" t="s">
        <v>246</v>
      </c>
      <c r="D31" s="135" t="s">
        <v>207</v>
      </c>
      <c r="E31" s="135" t="s">
        <v>208</v>
      </c>
    </row>
    <row r="32" spans="2:10" x14ac:dyDescent="0.3">
      <c r="B32" s="134" t="s">
        <v>247</v>
      </c>
      <c r="D32" s="135" t="s">
        <v>210</v>
      </c>
      <c r="E32" s="135" t="s">
        <v>211</v>
      </c>
    </row>
    <row r="33" spans="2:5" x14ac:dyDescent="0.3">
      <c r="B33" s="134" t="s">
        <v>248</v>
      </c>
      <c r="D33" s="135" t="s">
        <v>214</v>
      </c>
      <c r="E33" s="135" t="s">
        <v>70</v>
      </c>
    </row>
    <row r="34" spans="2:5" x14ac:dyDescent="0.3">
      <c r="B34" s="134" t="s">
        <v>249</v>
      </c>
      <c r="D34" s="135" t="s">
        <v>216</v>
      </c>
      <c r="E34" s="135" t="s">
        <v>217</v>
      </c>
    </row>
    <row r="35" spans="2:5" x14ac:dyDescent="0.3">
      <c r="B35" s="134" t="s">
        <v>250</v>
      </c>
      <c r="D35" s="135" t="s">
        <v>219</v>
      </c>
      <c r="E35" s="135" t="s">
        <v>220</v>
      </c>
    </row>
    <row r="36" spans="2:5" x14ac:dyDescent="0.3">
      <c r="B36" s="134" t="s">
        <v>251</v>
      </c>
      <c r="D36" s="135" t="s">
        <v>222</v>
      </c>
      <c r="E36" s="135" t="s">
        <v>223</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09C8F-AAEA-458B-9951-4C6082AE8B72}">
  <dimension ref="B2:I25"/>
  <sheetViews>
    <sheetView zoomScaleNormal="100" workbookViewId="0">
      <selection activeCell="C19" sqref="C19"/>
    </sheetView>
  </sheetViews>
  <sheetFormatPr defaultColWidth="8.77734375" defaultRowHeight="15.6" x14ac:dyDescent="0.3"/>
  <cols>
    <col min="1" max="1" width="8.77734375" style="352"/>
    <col min="2" max="2" width="17.44140625" style="352" customWidth="1"/>
    <col min="3" max="3" width="16.6640625" style="352" customWidth="1"/>
    <col min="4" max="4" width="15.88671875" style="352" customWidth="1"/>
    <col min="5" max="5" width="15.33203125" style="352" customWidth="1"/>
    <col min="6" max="6" width="12.5546875" style="352" customWidth="1"/>
    <col min="7" max="7" width="8.77734375" style="352"/>
    <col min="8" max="8" width="13.77734375" style="352" customWidth="1"/>
    <col min="9" max="9" width="14.6640625" style="352" bestFit="1" customWidth="1"/>
    <col min="10" max="16384" width="8.77734375" style="352"/>
  </cols>
  <sheetData>
    <row r="2" spans="2:9" ht="18.45" customHeight="1" x14ac:dyDescent="0.3">
      <c r="B2" s="351" t="s">
        <v>252</v>
      </c>
      <c r="C2" s="351" t="s">
        <v>253</v>
      </c>
      <c r="D2" s="351" t="s">
        <v>254</v>
      </c>
      <c r="H2" s="351" t="s">
        <v>252</v>
      </c>
      <c r="I2" s="353" t="s">
        <v>255</v>
      </c>
    </row>
    <row r="3" spans="2:9" x14ac:dyDescent="0.3">
      <c r="B3" s="349">
        <v>2233</v>
      </c>
      <c r="C3" s="354">
        <v>22</v>
      </c>
      <c r="D3" s="354">
        <v>33</v>
      </c>
      <c r="H3" s="355">
        <v>20000815</v>
      </c>
      <c r="I3" s="356">
        <v>36753</v>
      </c>
    </row>
    <row r="4" spans="2:9" x14ac:dyDescent="0.3">
      <c r="B4" s="349">
        <v>4455</v>
      </c>
      <c r="C4" s="354">
        <v>44</v>
      </c>
      <c r="D4" s="354">
        <v>55</v>
      </c>
      <c r="H4" s="355">
        <v>20000916</v>
      </c>
      <c r="I4" s="356">
        <v>36785</v>
      </c>
    </row>
    <row r="5" spans="2:9" x14ac:dyDescent="0.3">
      <c r="B5" s="349">
        <v>6789</v>
      </c>
      <c r="C5" s="354">
        <v>67</v>
      </c>
      <c r="D5" s="354">
        <v>89</v>
      </c>
      <c r="H5" s="355">
        <v>20001017</v>
      </c>
      <c r="I5" s="356">
        <v>36816</v>
      </c>
    </row>
    <row r="6" spans="2:9" x14ac:dyDescent="0.3">
      <c r="B6" s="349">
        <v>2356</v>
      </c>
      <c r="C6" s="354">
        <v>23</v>
      </c>
      <c r="D6" s="354">
        <v>56</v>
      </c>
      <c r="H6" s="355">
        <v>20001118</v>
      </c>
      <c r="I6" s="356">
        <v>36848</v>
      </c>
    </row>
    <row r="7" spans="2:9" x14ac:dyDescent="0.3">
      <c r="B7" s="349">
        <v>1227</v>
      </c>
      <c r="C7" s="354">
        <v>12</v>
      </c>
      <c r="D7" s="354">
        <v>27</v>
      </c>
      <c r="H7" s="355">
        <v>20001219</v>
      </c>
      <c r="I7" s="356">
        <v>36879</v>
      </c>
    </row>
    <row r="8" spans="2:9" x14ac:dyDescent="0.3">
      <c r="B8" s="349">
        <v>7957</v>
      </c>
      <c r="C8" s="354">
        <v>79</v>
      </c>
      <c r="D8" s="354">
        <v>57</v>
      </c>
      <c r="H8" s="355">
        <v>20001220</v>
      </c>
      <c r="I8" s="356">
        <v>36880</v>
      </c>
    </row>
    <row r="9" spans="2:9" x14ac:dyDescent="0.3">
      <c r="B9" s="350">
        <v>1212</v>
      </c>
      <c r="C9" s="354">
        <v>12</v>
      </c>
      <c r="D9" s="354">
        <v>12</v>
      </c>
      <c r="H9" s="355">
        <v>20000721</v>
      </c>
      <c r="I9" s="356">
        <v>36728</v>
      </c>
    </row>
    <row r="13" spans="2:9" ht="18.45" customHeight="1" x14ac:dyDescent="0.3">
      <c r="B13" s="351" t="s">
        <v>252</v>
      </c>
      <c r="C13" s="351" t="s">
        <v>253</v>
      </c>
      <c r="D13" s="351" t="s">
        <v>254</v>
      </c>
      <c r="E13" s="351" t="s">
        <v>256</v>
      </c>
      <c r="H13" s="354">
        <v>15082000</v>
      </c>
      <c r="I13" s="356">
        <v>36753</v>
      </c>
    </row>
    <row r="14" spans="2:9" x14ac:dyDescent="0.3">
      <c r="B14" s="354">
        <v>20000815</v>
      </c>
      <c r="C14" s="354">
        <v>2000</v>
      </c>
      <c r="D14" s="357" t="s">
        <v>257</v>
      </c>
      <c r="E14" s="354">
        <v>15</v>
      </c>
      <c r="H14" s="354">
        <v>16092000</v>
      </c>
      <c r="I14" s="356">
        <v>36785</v>
      </c>
    </row>
    <row r="15" spans="2:9" x14ac:dyDescent="0.3">
      <c r="B15" s="354">
        <v>20000916</v>
      </c>
      <c r="C15" s="354">
        <v>2000</v>
      </c>
      <c r="D15" s="357" t="s">
        <v>258</v>
      </c>
      <c r="E15" s="354">
        <v>16</v>
      </c>
      <c r="H15" s="354">
        <v>17102000</v>
      </c>
      <c r="I15" s="356">
        <v>36816</v>
      </c>
    </row>
    <row r="16" spans="2:9" x14ac:dyDescent="0.3">
      <c r="B16" s="354">
        <v>20001017</v>
      </c>
      <c r="C16" s="354">
        <v>2000</v>
      </c>
      <c r="D16" s="357" t="s">
        <v>259</v>
      </c>
      <c r="E16" s="354">
        <v>17</v>
      </c>
      <c r="H16" s="354">
        <v>18112000</v>
      </c>
      <c r="I16" s="356">
        <v>36848</v>
      </c>
    </row>
    <row r="17" spans="2:9" x14ac:dyDescent="0.3">
      <c r="B17" s="354">
        <v>20001118</v>
      </c>
      <c r="C17" s="354">
        <v>2000</v>
      </c>
      <c r="D17" s="357" t="s">
        <v>260</v>
      </c>
      <c r="E17" s="354">
        <v>18</v>
      </c>
      <c r="H17" s="354">
        <v>19122000</v>
      </c>
      <c r="I17" s="356">
        <v>36879</v>
      </c>
    </row>
    <row r="18" spans="2:9" x14ac:dyDescent="0.3">
      <c r="B18" s="354">
        <v>20001219</v>
      </c>
      <c r="C18" s="354">
        <v>2000</v>
      </c>
      <c r="D18" s="357" t="s">
        <v>261</v>
      </c>
      <c r="E18" s="354">
        <v>19</v>
      </c>
      <c r="H18" s="354">
        <v>20122000</v>
      </c>
      <c r="I18" s="356">
        <v>36880</v>
      </c>
    </row>
    <row r="19" spans="2:9" x14ac:dyDescent="0.3">
      <c r="B19" s="354">
        <v>20001320</v>
      </c>
      <c r="C19" s="354">
        <v>2000</v>
      </c>
      <c r="D19" s="357" t="s">
        <v>262</v>
      </c>
      <c r="E19" s="354">
        <v>20</v>
      </c>
      <c r="H19" s="354">
        <v>21072000</v>
      </c>
      <c r="I19" s="356">
        <v>36728</v>
      </c>
    </row>
    <row r="20" spans="2:9" x14ac:dyDescent="0.3">
      <c r="B20" s="354">
        <v>20001421</v>
      </c>
      <c r="C20" s="354">
        <v>2000</v>
      </c>
      <c r="D20" s="357" t="s">
        <v>263</v>
      </c>
      <c r="E20" s="354">
        <v>21</v>
      </c>
    </row>
    <row r="21" spans="2:9" x14ac:dyDescent="0.3">
      <c r="B21" s="354">
        <v>20001522</v>
      </c>
      <c r="C21" s="354">
        <v>2000</v>
      </c>
      <c r="D21" s="357" t="s">
        <v>264</v>
      </c>
      <c r="E21" s="354">
        <v>22</v>
      </c>
    </row>
    <row r="22" spans="2:9" x14ac:dyDescent="0.3">
      <c r="B22" s="354">
        <v>20001623</v>
      </c>
      <c r="C22" s="354">
        <v>2000</v>
      </c>
      <c r="D22" s="357" t="s">
        <v>265</v>
      </c>
      <c r="E22" s="354">
        <v>23</v>
      </c>
    </row>
    <row r="23" spans="2:9" x14ac:dyDescent="0.3">
      <c r="B23" s="354">
        <v>20001724</v>
      </c>
      <c r="C23" s="354">
        <v>2000</v>
      </c>
      <c r="D23" s="357" t="s">
        <v>266</v>
      </c>
      <c r="E23" s="354">
        <v>24</v>
      </c>
    </row>
    <row r="24" spans="2:9" x14ac:dyDescent="0.3">
      <c r="B24" s="354">
        <v>20001825</v>
      </c>
      <c r="C24" s="354">
        <v>2000</v>
      </c>
      <c r="D24" s="357" t="s">
        <v>267</v>
      </c>
      <c r="E24" s="354">
        <v>25</v>
      </c>
    </row>
    <row r="25" spans="2:9" x14ac:dyDescent="0.3">
      <c r="B25" s="354">
        <v>20001926</v>
      </c>
      <c r="C25" s="354">
        <v>2000</v>
      </c>
      <c r="D25" s="357" t="s">
        <v>268</v>
      </c>
      <c r="E25" s="354">
        <v>26</v>
      </c>
    </row>
  </sheetData>
  <pageMargins left="0.7" right="0.7" top="0.75" bottom="0.75" header="0.3" footer="0.3"/>
  <pageSetup orientation="portrait" r:id="rId1"/>
  <ignoredErrors>
    <ignoredError sqref="D14:D25"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9877F-4E92-46BE-9BD7-5E46D82FA01D}">
  <dimension ref="B1:E12"/>
  <sheetViews>
    <sheetView zoomScaleNormal="100" workbookViewId="0">
      <selection activeCell="C19" sqref="C19"/>
    </sheetView>
  </sheetViews>
  <sheetFormatPr defaultColWidth="8.77734375" defaultRowHeight="17.399999999999999" x14ac:dyDescent="0.3"/>
  <cols>
    <col min="1" max="1" width="8.77734375" style="359"/>
    <col min="2" max="2" width="44.77734375" style="359" customWidth="1"/>
    <col min="3" max="3" width="15.44140625" style="359" customWidth="1"/>
    <col min="4" max="4" width="22.21875" style="359" customWidth="1"/>
    <col min="5" max="5" width="19.21875" style="359" customWidth="1"/>
    <col min="6" max="6" width="19.6640625" style="359" customWidth="1"/>
    <col min="7" max="7" width="17.77734375" style="359" customWidth="1"/>
    <col min="8" max="16384" width="8.77734375" style="359"/>
  </cols>
  <sheetData>
    <row r="1" spans="2:5" ht="28.05" customHeight="1" x14ac:dyDescent="0.3">
      <c r="B1" s="358" t="s">
        <v>269</v>
      </c>
      <c r="D1" s="361" t="s">
        <v>16</v>
      </c>
      <c r="E1" s="361" t="s">
        <v>390</v>
      </c>
    </row>
    <row r="3" spans="2:5" x14ac:dyDescent="0.3">
      <c r="B3" s="360" t="s">
        <v>270</v>
      </c>
      <c r="D3" s="360"/>
      <c r="E3" s="360"/>
    </row>
    <row r="4" spans="2:5" x14ac:dyDescent="0.3">
      <c r="B4" s="360" t="s">
        <v>271</v>
      </c>
      <c r="D4" s="360"/>
      <c r="E4" s="360"/>
    </row>
    <row r="5" spans="2:5" x14ac:dyDescent="0.3">
      <c r="B5" s="360" t="s">
        <v>272</v>
      </c>
      <c r="D5" s="360"/>
      <c r="E5" s="360"/>
    </row>
    <row r="6" spans="2:5" x14ac:dyDescent="0.3">
      <c r="B6" s="360" t="s">
        <v>273</v>
      </c>
      <c r="D6" s="360"/>
      <c r="E6" s="360"/>
    </row>
    <row r="7" spans="2:5" x14ac:dyDescent="0.3">
      <c r="B7" s="360" t="s">
        <v>274</v>
      </c>
      <c r="D7" s="360"/>
      <c r="E7" s="360"/>
    </row>
    <row r="10" spans="2:5" ht="16.95" customHeight="1" x14ac:dyDescent="0.3"/>
    <row r="11" spans="2:5" ht="34.799999999999997" x14ac:dyDescent="0.3">
      <c r="B11" s="360" t="s">
        <v>275</v>
      </c>
      <c r="D11" s="360"/>
      <c r="E11" s="360"/>
    </row>
    <row r="12" spans="2:5" ht="55.5" customHeight="1" x14ac:dyDescent="0.3">
      <c r="B12" s="360" t="s">
        <v>276</v>
      </c>
      <c r="D12" s="360"/>
      <c r="E12" s="360"/>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24D92-1F2E-4701-9B7E-CC6A4B98D51B}">
  <dimension ref="C2:I38"/>
  <sheetViews>
    <sheetView zoomScale="110" zoomScaleNormal="110" workbookViewId="0">
      <selection activeCell="C19" sqref="C19"/>
    </sheetView>
  </sheetViews>
  <sheetFormatPr defaultColWidth="8.77734375" defaultRowHeight="13.8" x14ac:dyDescent="0.3"/>
  <cols>
    <col min="1" max="2" width="8.77734375" style="141"/>
    <col min="3" max="3" width="31" style="141" customWidth="1"/>
    <col min="4" max="4" width="18.44140625" style="141" customWidth="1"/>
    <col min="5" max="5" width="22.109375" style="141" customWidth="1"/>
    <col min="6" max="6" width="22.6640625" style="141" customWidth="1"/>
    <col min="7" max="16384" width="8.77734375" style="141"/>
  </cols>
  <sheetData>
    <row r="2" spans="3:9" ht="21.45" customHeight="1" x14ac:dyDescent="0.3">
      <c r="C2" s="140" t="s">
        <v>277</v>
      </c>
    </row>
    <row r="3" spans="3:9" ht="16.95" customHeight="1" x14ac:dyDescent="0.3"/>
    <row r="4" spans="3:9" ht="18" customHeight="1" x14ac:dyDescent="0.3">
      <c r="C4" s="142" t="s">
        <v>270</v>
      </c>
      <c r="E4" s="143" t="e" vm="1">
        <f ca="1">_xlfn.TEXTBEFORE(C4, "=")</f>
        <v>#NAME?</v>
      </c>
    </row>
    <row r="5" spans="3:9" ht="16.5" customHeight="1" x14ac:dyDescent="0.3">
      <c r="C5" s="142" t="s">
        <v>271</v>
      </c>
      <c r="E5" s="143" t="e" vm="1">
        <f ca="1">_xlfn.TEXTBEFORE(C5, ";")</f>
        <v>#NAME?</v>
      </c>
    </row>
    <row r="6" spans="3:9" ht="15" customHeight="1" x14ac:dyDescent="0.3">
      <c r="C6" s="142" t="s">
        <v>272</v>
      </c>
      <c r="E6" s="143" t="e" vm="1">
        <f ca="1">_xlfn.TEXTBEFORE(C6, ";")</f>
        <v>#NAME?</v>
      </c>
    </row>
    <row r="7" spans="3:9" ht="16.5" customHeight="1" x14ac:dyDescent="0.3">
      <c r="C7" s="142" t="s">
        <v>273</v>
      </c>
      <c r="E7" s="143" t="e" vm="1">
        <f ca="1">_xlfn.TEXTBEFORE(C7, ":")</f>
        <v>#NAME?</v>
      </c>
    </row>
    <row r="8" spans="3:9" x14ac:dyDescent="0.3">
      <c r="C8" s="142" t="s">
        <v>274</v>
      </c>
      <c r="E8" s="143" t="e" vm="1">
        <f ca="1">_xlfn.TEXTBEFORE(C8, ":")</f>
        <v>#NAME?</v>
      </c>
    </row>
    <row r="9" spans="3:9" x14ac:dyDescent="0.3">
      <c r="C9" s="144"/>
    </row>
    <row r="10" spans="3:9" ht="22.05" customHeight="1" x14ac:dyDescent="0.3">
      <c r="C10" s="140" t="s">
        <v>277</v>
      </c>
      <c r="D10" s="145"/>
      <c r="E10" s="145"/>
      <c r="F10" s="145"/>
    </row>
    <row r="11" spans="3:9" x14ac:dyDescent="0.3">
      <c r="C11" s="143" t="s">
        <v>278</v>
      </c>
      <c r="D11" s="143" t="e" vm="1">
        <f ca="1">_xlfn.TEXTBEFORE(C11, "=")</f>
        <v>#NAME?</v>
      </c>
      <c r="E11" s="143" t="e" vm="1">
        <f ca="1">_xlfn.TEXTBEFORE(C11, " =")</f>
        <v>#NAME?</v>
      </c>
      <c r="F11" s="143" t="e" vm="1">
        <f ca="1">_xlfn.TEXTBEFORE(C11, "0.0")</f>
        <v>#NAME?</v>
      </c>
      <c r="H11" s="143" t="e" vm="2">
        <f t="shared" ref="H11:I23" ca="1" si="0">LEN(D11)</f>
        <v>#NAME?</v>
      </c>
      <c r="I11" s="143" t="e" vm="2">
        <f t="shared" ca="1" si="0"/>
        <v>#NAME?</v>
      </c>
    </row>
    <row r="12" spans="3:9" x14ac:dyDescent="0.3">
      <c r="C12" s="143" t="s">
        <v>279</v>
      </c>
      <c r="D12" s="143" t="e" vm="1">
        <f t="shared" ref="D12:D23" ca="1" si="1">_xlfn.TEXTBEFORE(C12, "=")</f>
        <v>#NAME?</v>
      </c>
      <c r="E12" s="143" t="e" vm="1">
        <f t="shared" ref="E12:E23" ca="1" si="2">_xlfn.TEXTBEFORE(C12, " =")</f>
        <v>#NAME?</v>
      </c>
      <c r="F12" s="143" t="e" vm="1">
        <f ca="1">_xlfn.TEXTBEFORE(C12, " ", 3)</f>
        <v>#NAME?</v>
      </c>
      <c r="H12" s="143" t="e" vm="2">
        <f t="shared" ca="1" si="0"/>
        <v>#NAME?</v>
      </c>
      <c r="I12" s="143" t="e" vm="2">
        <f t="shared" ca="1" si="0"/>
        <v>#NAME?</v>
      </c>
    </row>
    <row r="13" spans="3:9" x14ac:dyDescent="0.3">
      <c r="C13" s="143" t="s">
        <v>280</v>
      </c>
      <c r="D13" s="143" t="e" vm="1">
        <f t="shared" ca="1" si="1"/>
        <v>#NAME?</v>
      </c>
      <c r="E13" s="143" t="e" vm="1">
        <f t="shared" ca="1" si="2"/>
        <v>#NAME?</v>
      </c>
      <c r="F13" s="143" t="e" vm="1">
        <f t="shared" ref="F13:F23" ca="1" si="3">_xlfn.TEXTBEFORE(C13, " ", 3)</f>
        <v>#NAME?</v>
      </c>
      <c r="H13" s="143" t="e" vm="2">
        <f t="shared" ca="1" si="0"/>
        <v>#NAME?</v>
      </c>
      <c r="I13" s="143" t="e" vm="2">
        <f t="shared" ca="1" si="0"/>
        <v>#NAME?</v>
      </c>
    </row>
    <row r="14" spans="3:9" x14ac:dyDescent="0.3">
      <c r="C14" s="143" t="s">
        <v>281</v>
      </c>
      <c r="D14" s="143" t="e" vm="1">
        <f t="shared" ca="1" si="1"/>
        <v>#NAME?</v>
      </c>
      <c r="E14" s="143" t="e" vm="1">
        <f t="shared" ca="1" si="2"/>
        <v>#NAME?</v>
      </c>
      <c r="F14" s="143" t="e" vm="1">
        <f t="shared" ca="1" si="3"/>
        <v>#NAME?</v>
      </c>
      <c r="H14" s="143" t="e" vm="2">
        <f t="shared" ca="1" si="0"/>
        <v>#NAME?</v>
      </c>
      <c r="I14" s="143" t="e" vm="2">
        <f t="shared" ca="1" si="0"/>
        <v>#NAME?</v>
      </c>
    </row>
    <row r="15" spans="3:9" x14ac:dyDescent="0.3">
      <c r="C15" s="143" t="s">
        <v>282</v>
      </c>
      <c r="D15" s="143" t="e" vm="1">
        <f t="shared" ca="1" si="1"/>
        <v>#NAME?</v>
      </c>
      <c r="E15" s="143" t="e" vm="1">
        <f t="shared" ca="1" si="2"/>
        <v>#NAME?</v>
      </c>
      <c r="F15" s="143" t="e" vm="1">
        <f t="shared" ca="1" si="3"/>
        <v>#NAME?</v>
      </c>
      <c r="H15" s="143" t="e" vm="2">
        <f t="shared" ca="1" si="0"/>
        <v>#NAME?</v>
      </c>
      <c r="I15" s="143" t="e" vm="2">
        <f t="shared" ca="1" si="0"/>
        <v>#NAME?</v>
      </c>
    </row>
    <row r="16" spans="3:9" x14ac:dyDescent="0.3">
      <c r="C16" s="143" t="s">
        <v>283</v>
      </c>
      <c r="D16" s="143" t="e" vm="1">
        <f t="shared" ca="1" si="1"/>
        <v>#NAME?</v>
      </c>
      <c r="E16" s="143" t="e" vm="1">
        <f t="shared" ca="1" si="2"/>
        <v>#NAME?</v>
      </c>
      <c r="F16" s="143" t="e" vm="1">
        <f t="shared" ca="1" si="3"/>
        <v>#NAME?</v>
      </c>
      <c r="H16" s="143" t="e" vm="2">
        <f t="shared" ca="1" si="0"/>
        <v>#NAME?</v>
      </c>
      <c r="I16" s="143" t="e" vm="2">
        <f t="shared" ca="1" si="0"/>
        <v>#NAME?</v>
      </c>
    </row>
    <row r="17" spans="3:9" x14ac:dyDescent="0.3">
      <c r="C17" s="143" t="s">
        <v>284</v>
      </c>
      <c r="D17" s="143" t="e" vm="1">
        <f t="shared" ca="1" si="1"/>
        <v>#NAME?</v>
      </c>
      <c r="E17" s="143" t="e" vm="1">
        <f t="shared" ca="1" si="2"/>
        <v>#NAME?</v>
      </c>
      <c r="F17" s="143" t="e" vm="1">
        <f t="shared" ca="1" si="3"/>
        <v>#NAME?</v>
      </c>
      <c r="H17" s="143" t="e" vm="2">
        <f t="shared" ca="1" si="0"/>
        <v>#NAME?</v>
      </c>
      <c r="I17" s="143" t="e" vm="2">
        <f t="shared" ca="1" si="0"/>
        <v>#NAME?</v>
      </c>
    </row>
    <row r="18" spans="3:9" x14ac:dyDescent="0.3">
      <c r="C18" s="143" t="s">
        <v>285</v>
      </c>
      <c r="D18" s="143" t="e" vm="1">
        <f t="shared" ca="1" si="1"/>
        <v>#NAME?</v>
      </c>
      <c r="E18" s="143" t="e" vm="1">
        <f t="shared" ca="1" si="2"/>
        <v>#NAME?</v>
      </c>
      <c r="F18" s="143" t="e" vm="1">
        <f t="shared" ca="1" si="3"/>
        <v>#NAME?</v>
      </c>
      <c r="H18" s="143" t="e" vm="2">
        <f t="shared" ca="1" si="0"/>
        <v>#NAME?</v>
      </c>
      <c r="I18" s="143" t="e" vm="2">
        <f t="shared" ca="1" si="0"/>
        <v>#NAME?</v>
      </c>
    </row>
    <row r="19" spans="3:9" x14ac:dyDescent="0.3">
      <c r="C19" s="143" t="s">
        <v>286</v>
      </c>
      <c r="D19" s="143" t="e" vm="1">
        <f t="shared" ca="1" si="1"/>
        <v>#NAME?</v>
      </c>
      <c r="E19" s="143" t="e" vm="1">
        <f t="shared" ca="1" si="2"/>
        <v>#NAME?</v>
      </c>
      <c r="F19" s="143" t="e" vm="1">
        <f t="shared" ca="1" si="3"/>
        <v>#NAME?</v>
      </c>
      <c r="H19" s="143" t="e" vm="2">
        <f t="shared" ca="1" si="0"/>
        <v>#NAME?</v>
      </c>
      <c r="I19" s="143" t="e" vm="2">
        <f t="shared" ca="1" si="0"/>
        <v>#NAME?</v>
      </c>
    </row>
    <row r="20" spans="3:9" x14ac:dyDescent="0.3">
      <c r="C20" s="143" t="s">
        <v>287</v>
      </c>
      <c r="D20" s="143" t="e" vm="1">
        <f t="shared" ca="1" si="1"/>
        <v>#NAME?</v>
      </c>
      <c r="E20" s="143" t="e" vm="1">
        <f t="shared" ca="1" si="2"/>
        <v>#NAME?</v>
      </c>
      <c r="F20" s="143" t="e" vm="1">
        <f t="shared" ca="1" si="3"/>
        <v>#NAME?</v>
      </c>
      <c r="H20" s="143" t="e" vm="2">
        <f t="shared" ca="1" si="0"/>
        <v>#NAME?</v>
      </c>
      <c r="I20" s="143" t="e" vm="2">
        <f t="shared" ca="1" si="0"/>
        <v>#NAME?</v>
      </c>
    </row>
    <row r="21" spans="3:9" x14ac:dyDescent="0.3">
      <c r="C21" s="143" t="s">
        <v>288</v>
      </c>
      <c r="D21" s="143" t="e" vm="1">
        <f t="shared" ca="1" si="1"/>
        <v>#NAME?</v>
      </c>
      <c r="E21" s="143" t="e" vm="1">
        <f t="shared" ca="1" si="2"/>
        <v>#NAME?</v>
      </c>
      <c r="F21" s="143" t="e" vm="1">
        <f t="shared" ca="1" si="3"/>
        <v>#NAME?</v>
      </c>
      <c r="H21" s="143" t="e" vm="2">
        <f t="shared" ca="1" si="0"/>
        <v>#NAME?</v>
      </c>
      <c r="I21" s="143" t="e" vm="2">
        <f t="shared" ca="1" si="0"/>
        <v>#NAME?</v>
      </c>
    </row>
    <row r="22" spans="3:9" x14ac:dyDescent="0.3">
      <c r="C22" s="143" t="s">
        <v>289</v>
      </c>
      <c r="D22" s="143" t="e" vm="1">
        <f t="shared" ca="1" si="1"/>
        <v>#NAME?</v>
      </c>
      <c r="E22" s="143" t="e" vm="1">
        <f t="shared" ca="1" si="2"/>
        <v>#NAME?</v>
      </c>
      <c r="F22" s="143" t="e" vm="1">
        <f t="shared" ca="1" si="3"/>
        <v>#NAME?</v>
      </c>
      <c r="H22" s="143" t="e" vm="2">
        <f t="shared" ca="1" si="0"/>
        <v>#NAME?</v>
      </c>
      <c r="I22" s="143" t="e" vm="2">
        <f t="shared" ca="1" si="0"/>
        <v>#NAME?</v>
      </c>
    </row>
    <row r="23" spans="3:9" x14ac:dyDescent="0.3">
      <c r="C23" s="143" t="s">
        <v>290</v>
      </c>
      <c r="D23" s="143" t="e" vm="1">
        <f t="shared" ca="1" si="1"/>
        <v>#NAME?</v>
      </c>
      <c r="E23" s="143" t="e" vm="1">
        <f t="shared" ca="1" si="2"/>
        <v>#NAME?</v>
      </c>
      <c r="F23" s="143" t="e" vm="1">
        <f t="shared" ca="1" si="3"/>
        <v>#NAME?</v>
      </c>
      <c r="H23" s="143" t="e" vm="2">
        <f t="shared" ca="1" si="0"/>
        <v>#NAME?</v>
      </c>
      <c r="I23" s="143" t="e" vm="2">
        <f t="shared" ca="1" si="0"/>
        <v>#NAME?</v>
      </c>
    </row>
    <row r="25" spans="3:9" x14ac:dyDescent="0.3">
      <c r="C25" s="140" t="s">
        <v>277</v>
      </c>
    </row>
    <row r="26" spans="3:9" x14ac:dyDescent="0.3">
      <c r="C26" s="143" t="s">
        <v>291</v>
      </c>
      <c r="D26" s="143" t="e" vm="1">
        <f ca="1">_xlfn.TEXTBEFORE(C26, " =")</f>
        <v>#NAME?</v>
      </c>
      <c r="E26" s="143" t="e" vm="1">
        <f ca="1">_xlfn.TEXTBEFORE(C26, " =", 2)</f>
        <v>#NAME?</v>
      </c>
      <c r="F26" s="143" t="e" vm="1">
        <f ca="1">_xlfn.TEXTBEFORE(C26, " =", 2)</f>
        <v>#NAME?</v>
      </c>
    </row>
    <row r="27" spans="3:9" x14ac:dyDescent="0.3">
      <c r="C27" s="143" t="s">
        <v>292</v>
      </c>
      <c r="D27" s="143" t="e" vm="1">
        <f t="shared" ref="D27:D38" ca="1" si="4">_xlfn.TEXTBEFORE(C27, " =")</f>
        <v>#NAME?</v>
      </c>
      <c r="E27" s="143" t="e" vm="1">
        <f t="shared" ref="E27:E38" ca="1" si="5">_xlfn.TEXTBEFORE(C27, " =", 2)</f>
        <v>#NAME?</v>
      </c>
      <c r="F27" s="143" t="e" vm="1">
        <f ca="1">_xlfn.TEXTBEFORE(C27, " =", 20)</f>
        <v>#NAME?</v>
      </c>
    </row>
    <row r="28" spans="3:9" x14ac:dyDescent="0.3">
      <c r="C28" s="143" t="s">
        <v>293</v>
      </c>
      <c r="D28" s="143" t="e" vm="1">
        <f t="shared" ca="1" si="4"/>
        <v>#NAME?</v>
      </c>
      <c r="E28" s="143" t="e" vm="1">
        <f t="shared" ca="1" si="5"/>
        <v>#NAME?</v>
      </c>
      <c r="F28" s="143" t="e" vm="1">
        <f ca="1">_xlfn.TEXTBEFORE(C28, " =", 3)</f>
        <v>#NAME?</v>
      </c>
    </row>
    <row r="29" spans="3:9" x14ac:dyDescent="0.3">
      <c r="C29" s="143" t="s">
        <v>294</v>
      </c>
      <c r="D29" s="143" t="e" vm="1">
        <f t="shared" ca="1" si="4"/>
        <v>#NAME?</v>
      </c>
      <c r="E29" s="143" t="e" vm="1">
        <f t="shared" ca="1" si="5"/>
        <v>#NAME?</v>
      </c>
      <c r="F29" s="143" t="e" vm="1">
        <f t="shared" ref="F29:F38" ca="1" si="6">_xlfn.TEXTBEFORE(C29, " =", 2)</f>
        <v>#NAME?</v>
      </c>
    </row>
    <row r="30" spans="3:9" x14ac:dyDescent="0.3">
      <c r="C30" s="143" t="s">
        <v>295</v>
      </c>
      <c r="D30" s="143" t="e" vm="1">
        <f t="shared" ca="1" si="4"/>
        <v>#NAME?</v>
      </c>
      <c r="E30" s="143" t="e" vm="1">
        <f t="shared" ca="1" si="5"/>
        <v>#NAME?</v>
      </c>
      <c r="F30" s="143" t="e" vm="1">
        <f t="shared" ca="1" si="6"/>
        <v>#NAME?</v>
      </c>
    </row>
    <row r="31" spans="3:9" x14ac:dyDescent="0.3">
      <c r="C31" s="143" t="s">
        <v>296</v>
      </c>
      <c r="D31" s="143" t="e" vm="1">
        <f t="shared" ca="1" si="4"/>
        <v>#NAME?</v>
      </c>
      <c r="E31" s="143" t="e" vm="1">
        <f t="shared" ca="1" si="5"/>
        <v>#NAME?</v>
      </c>
      <c r="F31" s="143" t="e" vm="1">
        <f t="shared" ca="1" si="6"/>
        <v>#NAME?</v>
      </c>
    </row>
    <row r="32" spans="3:9" x14ac:dyDescent="0.3">
      <c r="C32" s="143" t="s">
        <v>297</v>
      </c>
      <c r="D32" s="143" t="e" vm="1">
        <f t="shared" ca="1" si="4"/>
        <v>#NAME?</v>
      </c>
      <c r="E32" s="143" t="e" vm="1">
        <f t="shared" ca="1" si="5"/>
        <v>#NAME?</v>
      </c>
      <c r="F32" s="143" t="e" vm="1">
        <f t="shared" ca="1" si="6"/>
        <v>#NAME?</v>
      </c>
    </row>
    <row r="33" spans="3:6" x14ac:dyDescent="0.3">
      <c r="C33" s="143" t="s">
        <v>298</v>
      </c>
      <c r="D33" s="143" t="e" vm="1">
        <f t="shared" ca="1" si="4"/>
        <v>#NAME?</v>
      </c>
      <c r="E33" s="143" t="e" vm="1">
        <f t="shared" ca="1" si="5"/>
        <v>#NAME?</v>
      </c>
      <c r="F33" s="143" t="e" vm="1">
        <f t="shared" ca="1" si="6"/>
        <v>#NAME?</v>
      </c>
    </row>
    <row r="34" spans="3:6" x14ac:dyDescent="0.3">
      <c r="C34" s="143" t="s">
        <v>299</v>
      </c>
      <c r="D34" s="143" t="e" vm="1">
        <f t="shared" ca="1" si="4"/>
        <v>#NAME?</v>
      </c>
      <c r="E34" s="143" t="e" vm="1">
        <f t="shared" ca="1" si="5"/>
        <v>#NAME?</v>
      </c>
      <c r="F34" s="143" t="e" vm="1">
        <f t="shared" ca="1" si="6"/>
        <v>#NAME?</v>
      </c>
    </row>
    <row r="35" spans="3:6" x14ac:dyDescent="0.3">
      <c r="C35" s="143" t="s">
        <v>300</v>
      </c>
      <c r="D35" s="143" t="e" vm="1">
        <f t="shared" ca="1" si="4"/>
        <v>#NAME?</v>
      </c>
      <c r="E35" s="143" t="e" vm="1">
        <f t="shared" ca="1" si="5"/>
        <v>#NAME?</v>
      </c>
      <c r="F35" s="143" t="e" vm="1">
        <f t="shared" ca="1" si="6"/>
        <v>#NAME?</v>
      </c>
    </row>
    <row r="36" spans="3:6" x14ac:dyDescent="0.3">
      <c r="C36" s="143" t="s">
        <v>301</v>
      </c>
      <c r="D36" s="143" t="e" vm="1">
        <f t="shared" ca="1" si="4"/>
        <v>#NAME?</v>
      </c>
      <c r="E36" s="143" t="e" vm="1">
        <f t="shared" ca="1" si="5"/>
        <v>#NAME?</v>
      </c>
      <c r="F36" s="143" t="e" vm="1">
        <f t="shared" ca="1" si="6"/>
        <v>#NAME?</v>
      </c>
    </row>
    <row r="37" spans="3:6" x14ac:dyDescent="0.3">
      <c r="C37" s="143" t="s">
        <v>302</v>
      </c>
      <c r="D37" s="143" t="e" vm="1">
        <f t="shared" ca="1" si="4"/>
        <v>#NAME?</v>
      </c>
      <c r="E37" s="143" t="e" vm="1">
        <f t="shared" ca="1" si="5"/>
        <v>#NAME?</v>
      </c>
      <c r="F37" s="143" t="e" vm="1">
        <f t="shared" ca="1" si="6"/>
        <v>#NAME?</v>
      </c>
    </row>
    <row r="38" spans="3:6" x14ac:dyDescent="0.3">
      <c r="C38" s="143" t="s">
        <v>303</v>
      </c>
      <c r="D38" s="143" t="e" vm="1">
        <f t="shared" ca="1" si="4"/>
        <v>#NAME?</v>
      </c>
      <c r="E38" s="143" t="e" vm="1">
        <f t="shared" ca="1" si="5"/>
        <v>#NAME?</v>
      </c>
      <c r="F38" s="143" t="e" vm="1">
        <f t="shared" ca="1" si="6"/>
        <v>#NAME?</v>
      </c>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79200-4C9B-4E34-9E8B-A25C70131EAD}">
  <dimension ref="C2:H24"/>
  <sheetViews>
    <sheetView workbookViewId="0">
      <selection activeCell="C19" sqref="C19"/>
    </sheetView>
  </sheetViews>
  <sheetFormatPr defaultColWidth="8.77734375" defaultRowHeight="14.4" x14ac:dyDescent="0.3"/>
  <cols>
    <col min="1" max="2" width="8.77734375" style="109"/>
    <col min="3" max="3" width="29.5546875" style="109" customWidth="1"/>
    <col min="4" max="4" width="14.33203125" style="109" customWidth="1"/>
    <col min="5" max="5" width="23.77734375" style="109" customWidth="1"/>
    <col min="6" max="6" width="16.77734375" style="109" customWidth="1"/>
    <col min="7" max="7" width="8.77734375" style="109"/>
    <col min="8" max="8" width="16" style="109" customWidth="1"/>
    <col min="9" max="9" width="20.109375" style="109" customWidth="1"/>
    <col min="10" max="10" width="8.77734375" style="109"/>
    <col min="11" max="11" width="9.44140625" style="109" customWidth="1"/>
    <col min="12" max="16384" width="8.77734375" style="109"/>
  </cols>
  <sheetData>
    <row r="2" spans="3:8" ht="16.95" customHeight="1" x14ac:dyDescent="0.3">
      <c r="C2" s="131" t="s">
        <v>277</v>
      </c>
      <c r="D2" s="146"/>
      <c r="E2" s="146"/>
    </row>
    <row r="3" spans="3:8" ht="14.55" customHeight="1" x14ac:dyDescent="0.3">
      <c r="C3" s="146"/>
      <c r="D3" s="146"/>
      <c r="E3" s="146"/>
    </row>
    <row r="4" spans="3:8" ht="15" customHeight="1" x14ac:dyDescent="0.3">
      <c r="C4" s="147" t="s">
        <v>270</v>
      </c>
      <c r="E4" s="111" t="e" vm="1">
        <f ca="1">_xlfn.TEXTAFTER(C4, "=")</f>
        <v>#NAME?</v>
      </c>
      <c r="H4" s="111"/>
    </row>
    <row r="5" spans="3:8" ht="15.45" customHeight="1" x14ac:dyDescent="0.3">
      <c r="C5" s="147" t="s">
        <v>271</v>
      </c>
      <c r="E5" s="111" t="e" vm="1">
        <f ca="1">_xlfn.TEXTAFTER(C5, ";")</f>
        <v>#NAME?</v>
      </c>
      <c r="H5" s="111"/>
    </row>
    <row r="6" spans="3:8" ht="15" customHeight="1" x14ac:dyDescent="0.3">
      <c r="C6" s="147" t="s">
        <v>272</v>
      </c>
      <c r="E6" s="111" t="e" vm="1">
        <f ca="1">_xlfn.TEXTAFTER(C6, "*")</f>
        <v>#NAME?</v>
      </c>
      <c r="H6" s="111"/>
    </row>
    <row r="7" spans="3:8" x14ac:dyDescent="0.3">
      <c r="C7" s="147" t="s">
        <v>273</v>
      </c>
      <c r="E7" s="111" t="e" vm="1">
        <f ca="1">_xlfn.TEXTAFTER(C7, ",")</f>
        <v>#NAME?</v>
      </c>
      <c r="H7" s="111"/>
    </row>
    <row r="8" spans="3:8" x14ac:dyDescent="0.3">
      <c r="C8" s="147" t="s">
        <v>274</v>
      </c>
      <c r="E8" s="111" t="e" vm="1">
        <f ca="1">_xlfn.TEXTAFTER(C8, "&amp;")</f>
        <v>#NAME?</v>
      </c>
    </row>
    <row r="9" spans="3:8" ht="13.95" customHeight="1" x14ac:dyDescent="0.3">
      <c r="C9" s="148"/>
      <c r="D9" s="146"/>
      <c r="E9" s="146"/>
    </row>
    <row r="10" spans="3:8" ht="16.05" customHeight="1" x14ac:dyDescent="0.3">
      <c r="C10" s="131" t="s">
        <v>277</v>
      </c>
      <c r="E10" s="149" t="s">
        <v>304</v>
      </c>
      <c r="F10" s="149" t="s">
        <v>305</v>
      </c>
      <c r="H10" s="109" t="e" vm="1">
        <f ca="1">_xlfn.TEXTAFTER(C4, "headphones", 1, 1, ,)</f>
        <v>#NAME?</v>
      </c>
    </row>
    <row r="11" spans="3:8" x14ac:dyDescent="0.3">
      <c r="C11" s="110" t="s">
        <v>278</v>
      </c>
      <c r="E11" s="111" t="e" vm="1">
        <f t="shared" ref="E11:E17" ca="1" si="0">_xlfn.TEXTBEFORE(_xlfn.TEXTAFTER(C11, "= "), " /")</f>
        <v>#NAME?</v>
      </c>
      <c r="F11" s="111" t="e" vm="1">
        <f ca="1">_xlfn.TEXTAFTER(C11, "/ ")</f>
        <v>#NAME?</v>
      </c>
    </row>
    <row r="12" spans="3:8" x14ac:dyDescent="0.3">
      <c r="C12" s="110" t="s">
        <v>279</v>
      </c>
      <c r="E12" s="111" t="e" vm="1">
        <f t="shared" ca="1" si="0"/>
        <v>#NAME?</v>
      </c>
      <c r="F12" s="111" t="e" vm="1">
        <f t="shared" ref="F12:F24" ca="1" si="1">_xlfn.TEXTAFTER(C12, "/ ")</f>
        <v>#NAME?</v>
      </c>
      <c r="H12" s="109" t="e" vm="1">
        <f ca="1">_xlfn.TEXTAFTER(C4, "headphones", 1, 0, , "Not present")</f>
        <v>#NAME?</v>
      </c>
    </row>
    <row r="13" spans="3:8" x14ac:dyDescent="0.3">
      <c r="C13" s="110" t="s">
        <v>280</v>
      </c>
      <c r="E13" s="111" t="e" vm="1">
        <f t="shared" ca="1" si="0"/>
        <v>#NAME?</v>
      </c>
      <c r="F13" s="111" t="e" vm="1">
        <f t="shared" ca="1" si="1"/>
        <v>#NAME?</v>
      </c>
    </row>
    <row r="14" spans="3:8" x14ac:dyDescent="0.3">
      <c r="C14" s="110" t="s">
        <v>281</v>
      </c>
      <c r="E14" s="111" t="e" vm="1">
        <f t="shared" ca="1" si="0"/>
        <v>#NAME?</v>
      </c>
      <c r="F14" s="111" t="e" vm="1">
        <f t="shared" ca="1" si="1"/>
        <v>#NAME?</v>
      </c>
    </row>
    <row r="15" spans="3:8" x14ac:dyDescent="0.3">
      <c r="C15" s="110" t="s">
        <v>282</v>
      </c>
      <c r="E15" s="111" t="e" vm="1">
        <f t="shared" ca="1" si="0"/>
        <v>#NAME?</v>
      </c>
      <c r="F15" s="111" t="e" vm="1">
        <f t="shared" ca="1" si="1"/>
        <v>#NAME?</v>
      </c>
      <c r="H15" s="109" t="e" vm="1">
        <f ca="1">_xlfn.TEXTAFTER(C11, ";", 1, , , "Its not there")</f>
        <v>#NAME?</v>
      </c>
    </row>
    <row r="16" spans="3:8" x14ac:dyDescent="0.3">
      <c r="C16" s="110" t="s">
        <v>283</v>
      </c>
      <c r="E16" s="111" t="e" vm="1">
        <f t="shared" ca="1" si="0"/>
        <v>#NAME?</v>
      </c>
      <c r="F16" s="111" t="e" vm="1">
        <f t="shared" ca="1" si="1"/>
        <v>#NAME?</v>
      </c>
      <c r="H16" s="109" t="e" vm="1">
        <f ca="1">_xlfn.TEXTAFTER(C11, ";", 1, , ,)</f>
        <v>#NAME?</v>
      </c>
    </row>
    <row r="17" spans="3:6" x14ac:dyDescent="0.3">
      <c r="C17" s="110" t="s">
        <v>284</v>
      </c>
      <c r="E17" s="111" t="e" vm="1">
        <f t="shared" ca="1" si="0"/>
        <v>#NAME?</v>
      </c>
      <c r="F17" s="111" t="e" vm="1">
        <f t="shared" ca="1" si="1"/>
        <v>#NAME?</v>
      </c>
    </row>
    <row r="18" spans="3:6" x14ac:dyDescent="0.3">
      <c r="C18" s="110"/>
      <c r="E18" s="111"/>
      <c r="F18" s="111"/>
    </row>
    <row r="19" spans="3:6" x14ac:dyDescent="0.3">
      <c r="C19" s="110" t="s">
        <v>285</v>
      </c>
      <c r="E19" s="111" t="e" vm="1">
        <f t="shared" ref="E19:E24" ca="1" si="2">_xlfn.TEXTAFTER(_xlfn.TEXTBEFORE(C19, " /"), "= ")</f>
        <v>#NAME?</v>
      </c>
      <c r="F19" s="111" t="e" vm="1">
        <f t="shared" ca="1" si="1"/>
        <v>#NAME?</v>
      </c>
    </row>
    <row r="20" spans="3:6" x14ac:dyDescent="0.3">
      <c r="C20" s="110" t="s">
        <v>286</v>
      </c>
      <c r="E20" s="111" t="e" vm="1">
        <f t="shared" ca="1" si="2"/>
        <v>#NAME?</v>
      </c>
      <c r="F20" s="111" t="e" vm="1">
        <f t="shared" ca="1" si="1"/>
        <v>#NAME?</v>
      </c>
    </row>
    <row r="21" spans="3:6" x14ac:dyDescent="0.3">
      <c r="C21" s="110" t="s">
        <v>287</v>
      </c>
      <c r="E21" s="111" t="e" vm="1">
        <f t="shared" ca="1" si="2"/>
        <v>#NAME?</v>
      </c>
      <c r="F21" s="111" t="e" vm="1">
        <f t="shared" ca="1" si="1"/>
        <v>#NAME?</v>
      </c>
    </row>
    <row r="22" spans="3:6" x14ac:dyDescent="0.3">
      <c r="C22" s="110" t="s">
        <v>288</v>
      </c>
      <c r="E22" s="111" t="e" vm="1">
        <f t="shared" ca="1" si="2"/>
        <v>#NAME?</v>
      </c>
      <c r="F22" s="111" t="e" vm="1">
        <f t="shared" ca="1" si="1"/>
        <v>#NAME?</v>
      </c>
    </row>
    <row r="23" spans="3:6" x14ac:dyDescent="0.3">
      <c r="C23" s="110" t="s">
        <v>289</v>
      </c>
      <c r="E23" s="111" t="e" vm="1">
        <f t="shared" ca="1" si="2"/>
        <v>#NAME?</v>
      </c>
      <c r="F23" s="111" t="e" vm="1">
        <f t="shared" ca="1" si="1"/>
        <v>#NAME?</v>
      </c>
    </row>
    <row r="24" spans="3:6" x14ac:dyDescent="0.3">
      <c r="C24" s="110" t="s">
        <v>290</v>
      </c>
      <c r="E24" s="111" t="e" vm="1">
        <f t="shared" ca="1" si="2"/>
        <v>#NAME?</v>
      </c>
      <c r="F24" s="111" t="e" vm="1">
        <f t="shared" ca="1" si="1"/>
        <v>#NAME?</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47BDA-4709-4B5A-858F-C82058AE9BF7}">
  <dimension ref="C3:I18"/>
  <sheetViews>
    <sheetView workbookViewId="0">
      <selection activeCell="C19" sqref="C19"/>
    </sheetView>
  </sheetViews>
  <sheetFormatPr defaultColWidth="8.77734375" defaultRowHeight="15.6" x14ac:dyDescent="0.3"/>
  <cols>
    <col min="1" max="2" width="8.77734375" style="150"/>
    <col min="3" max="3" width="18.44140625" style="150" customWidth="1"/>
    <col min="4" max="4" width="17.33203125" style="150" customWidth="1"/>
    <col min="5" max="5" width="18.21875" style="150" customWidth="1"/>
    <col min="6" max="6" width="8.77734375" style="150"/>
    <col min="7" max="7" width="14.88671875" style="150" customWidth="1"/>
    <col min="8" max="16384" width="8.77734375" style="150"/>
  </cols>
  <sheetData>
    <row r="3" spans="3:7" x14ac:dyDescent="0.3">
      <c r="G3" s="151" t="s">
        <v>306</v>
      </c>
    </row>
    <row r="4" spans="3:7" x14ac:dyDescent="0.3">
      <c r="G4" s="110">
        <v>455</v>
      </c>
    </row>
    <row r="5" spans="3:7" x14ac:dyDescent="0.3">
      <c r="G5" s="110">
        <v>2432</v>
      </c>
    </row>
    <row r="6" spans="3:7" x14ac:dyDescent="0.3">
      <c r="C6" s="152" t="s">
        <v>35</v>
      </c>
      <c r="D6" s="152" t="s">
        <v>36</v>
      </c>
      <c r="E6" s="152" t="s">
        <v>37</v>
      </c>
      <c r="G6" s="110">
        <v>6868</v>
      </c>
    </row>
    <row r="7" spans="3:7" x14ac:dyDescent="0.3">
      <c r="C7" s="6" t="s">
        <v>0</v>
      </c>
      <c r="D7" s="6" t="s">
        <v>1</v>
      </c>
      <c r="E7" s="6">
        <v>1000</v>
      </c>
      <c r="G7" s="110">
        <v>6876</v>
      </c>
    </row>
    <row r="8" spans="3:7" x14ac:dyDescent="0.3">
      <c r="C8" s="6" t="s">
        <v>2</v>
      </c>
      <c r="D8" s="6" t="s">
        <v>3</v>
      </c>
      <c r="E8" s="6">
        <v>5000</v>
      </c>
      <c r="G8" s="110">
        <v>35353</v>
      </c>
    </row>
    <row r="9" spans="3:7" x14ac:dyDescent="0.3">
      <c r="C9" s="6" t="s">
        <v>4</v>
      </c>
      <c r="D9" s="6" t="s">
        <v>5</v>
      </c>
      <c r="E9" s="6">
        <v>1000</v>
      </c>
      <c r="G9" s="110">
        <v>242434</v>
      </c>
    </row>
    <row r="10" spans="3:7" x14ac:dyDescent="0.3">
      <c r="C10" s="6" t="s">
        <v>6</v>
      </c>
      <c r="D10" s="6" t="s">
        <v>7</v>
      </c>
      <c r="E10" s="6">
        <v>3500</v>
      </c>
      <c r="G10" s="110">
        <v>344323</v>
      </c>
    </row>
    <row r="11" spans="3:7" x14ac:dyDescent="0.3">
      <c r="C11" s="6" t="s">
        <v>8</v>
      </c>
      <c r="D11" s="6" t="s">
        <v>9</v>
      </c>
      <c r="E11" s="6">
        <v>3000</v>
      </c>
      <c r="G11" s="110">
        <v>344343</v>
      </c>
    </row>
    <row r="12" spans="3:7" x14ac:dyDescent="0.3">
      <c r="C12" s="153" t="s">
        <v>10</v>
      </c>
      <c r="D12" s="154" t="s">
        <v>11</v>
      </c>
      <c r="E12" s="6">
        <v>4000</v>
      </c>
      <c r="G12" s="110">
        <v>575343</v>
      </c>
    </row>
    <row r="13" spans="3:7" x14ac:dyDescent="0.3">
      <c r="C13" s="153" t="s">
        <v>12</v>
      </c>
      <c r="D13" s="153" t="s">
        <v>13</v>
      </c>
      <c r="E13" s="6">
        <v>4000</v>
      </c>
      <c r="G13" s="110">
        <v>55645645</v>
      </c>
    </row>
    <row r="14" spans="3:7" x14ac:dyDescent="0.3">
      <c r="C14" s="721" t="s">
        <v>43</v>
      </c>
      <c r="D14" s="722"/>
      <c r="E14" s="5">
        <f>SUM(E7:E13)</f>
        <v>21500</v>
      </c>
      <c r="G14" s="110">
        <v>67786786</v>
      </c>
    </row>
    <row r="16" spans="3:7" x14ac:dyDescent="0.3">
      <c r="E16" t="e">
        <f>SUM(Sales)</f>
        <v>#REF!</v>
      </c>
    </row>
    <row r="17" spans="4:9" x14ac:dyDescent="0.3">
      <c r="I17" s="150" t="e" cm="1">
        <f t="array" ref="I17">Sales*10</f>
        <v>#REF!</v>
      </c>
    </row>
    <row r="18" spans="4:9" x14ac:dyDescent="0.3">
      <c r="D18" s="150" t="e">
        <f>SUM(Sales)</f>
        <v>#REF!</v>
      </c>
    </row>
  </sheetData>
  <mergeCells count="1">
    <mergeCell ref="C14:D14"/>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F09CD-F9AA-4CB5-A238-F9095BD2046C}">
  <dimension ref="D2:H38"/>
  <sheetViews>
    <sheetView workbookViewId="0">
      <selection activeCell="C19" sqref="C19"/>
    </sheetView>
  </sheetViews>
  <sheetFormatPr defaultColWidth="8.77734375" defaultRowHeight="15.6" x14ac:dyDescent="0.3"/>
  <cols>
    <col min="1" max="3" width="8.77734375" style="163"/>
    <col min="4" max="4" width="11.21875" style="163" customWidth="1"/>
    <col min="5" max="5" width="11.77734375" style="163" customWidth="1"/>
    <col min="6" max="6" width="15.6640625" style="163" customWidth="1"/>
    <col min="7" max="7" width="15.33203125" style="163" customWidth="1"/>
    <col min="8" max="8" width="13.21875" style="163" customWidth="1"/>
    <col min="9" max="16384" width="8.77734375" style="163"/>
  </cols>
  <sheetData>
    <row r="2" spans="4:8" x14ac:dyDescent="0.3">
      <c r="D2" s="168" t="s">
        <v>14</v>
      </c>
      <c r="E2" s="169" t="s">
        <v>15</v>
      </c>
      <c r="F2" s="169" t="s">
        <v>16</v>
      </c>
      <c r="G2" s="170" t="s">
        <v>308</v>
      </c>
      <c r="H2" s="169" t="s">
        <v>309</v>
      </c>
    </row>
    <row r="3" spans="4:8" x14ac:dyDescent="0.3">
      <c r="D3" s="166">
        <v>1</v>
      </c>
      <c r="E3" s="165" t="s">
        <v>0</v>
      </c>
      <c r="F3" s="165" t="s">
        <v>1</v>
      </c>
      <c r="G3" s="167">
        <v>1000</v>
      </c>
      <c r="H3" s="163">
        <v>1</v>
      </c>
    </row>
    <row r="4" spans="4:8" x14ac:dyDescent="0.3">
      <c r="D4" s="166">
        <v>2</v>
      </c>
      <c r="E4" s="165" t="s">
        <v>2</v>
      </c>
      <c r="F4" s="165" t="s">
        <v>3</v>
      </c>
      <c r="G4" s="167">
        <v>5000</v>
      </c>
      <c r="H4" s="163">
        <v>2</v>
      </c>
    </row>
    <row r="5" spans="4:8" x14ac:dyDescent="0.3">
      <c r="D5" s="166">
        <v>3</v>
      </c>
      <c r="E5" s="165" t="s">
        <v>4</v>
      </c>
      <c r="F5" s="165" t="s">
        <v>5</v>
      </c>
      <c r="G5" s="167">
        <v>1000</v>
      </c>
      <c r="H5" s="163">
        <v>3</v>
      </c>
    </row>
    <row r="6" spans="4:8" x14ac:dyDescent="0.3">
      <c r="D6" s="166">
        <v>4</v>
      </c>
      <c r="E6" s="165" t="s">
        <v>6</v>
      </c>
      <c r="F6" s="165" t="s">
        <v>7</v>
      </c>
      <c r="G6" s="167">
        <v>3500</v>
      </c>
      <c r="H6" s="163">
        <v>4</v>
      </c>
    </row>
    <row r="7" spans="4:8" x14ac:dyDescent="0.3">
      <c r="D7" s="166">
        <v>5</v>
      </c>
      <c r="E7" s="165" t="s">
        <v>8</v>
      </c>
      <c r="F7" s="165" t="s">
        <v>9</v>
      </c>
      <c r="G7" s="167">
        <v>3000</v>
      </c>
      <c r="H7" s="163">
        <v>5</v>
      </c>
    </row>
    <row r="8" spans="4:8" x14ac:dyDescent="0.3">
      <c r="D8" s="166">
        <v>6</v>
      </c>
      <c r="E8" s="165" t="s">
        <v>10</v>
      </c>
      <c r="F8" s="165" t="s">
        <v>11</v>
      </c>
      <c r="G8" s="167">
        <v>4000</v>
      </c>
      <c r="H8" s="163">
        <v>6</v>
      </c>
    </row>
    <row r="9" spans="4:8" x14ac:dyDescent="0.3">
      <c r="D9" s="166">
        <v>7</v>
      </c>
      <c r="E9" s="165" t="s">
        <v>12</v>
      </c>
      <c r="F9" s="165" t="s">
        <v>13</v>
      </c>
      <c r="G9" s="167">
        <v>4000</v>
      </c>
      <c r="H9" s="163">
        <v>7</v>
      </c>
    </row>
    <row r="10" spans="4:8" x14ac:dyDescent="0.3">
      <c r="D10" s="166">
        <v>8</v>
      </c>
      <c r="E10" s="165" t="s">
        <v>0</v>
      </c>
      <c r="F10" s="165" t="s">
        <v>1</v>
      </c>
      <c r="G10" s="167">
        <v>1000</v>
      </c>
      <c r="H10" s="163">
        <v>8</v>
      </c>
    </row>
    <row r="11" spans="4:8" x14ac:dyDescent="0.3">
      <c r="D11" s="166">
        <v>9</v>
      </c>
      <c r="E11" s="165" t="s">
        <v>2</v>
      </c>
      <c r="F11" s="165" t="s">
        <v>3</v>
      </c>
      <c r="G11" s="167">
        <v>5000</v>
      </c>
      <c r="H11" s="163">
        <v>9</v>
      </c>
    </row>
    <row r="12" spans="4:8" x14ac:dyDescent="0.3">
      <c r="D12" s="166">
        <v>10</v>
      </c>
      <c r="E12" s="165" t="s">
        <v>4</v>
      </c>
      <c r="F12" s="165" t="s">
        <v>5</v>
      </c>
      <c r="G12" s="167">
        <v>1000</v>
      </c>
    </row>
    <row r="13" spans="4:8" x14ac:dyDescent="0.3">
      <c r="D13" s="166">
        <v>11</v>
      </c>
      <c r="E13" s="165" t="s">
        <v>6</v>
      </c>
      <c r="F13" s="165" t="s">
        <v>7</v>
      </c>
      <c r="G13" s="167">
        <v>3500</v>
      </c>
    </row>
    <row r="14" spans="4:8" x14ac:dyDescent="0.3">
      <c r="D14" s="166">
        <v>12</v>
      </c>
      <c r="E14" s="165" t="s">
        <v>8</v>
      </c>
      <c r="F14" s="165" t="s">
        <v>9</v>
      </c>
      <c r="G14" s="167">
        <v>3000</v>
      </c>
    </row>
    <row r="15" spans="4:8" x14ac:dyDescent="0.3">
      <c r="D15" s="166">
        <v>13</v>
      </c>
      <c r="E15" s="165" t="s">
        <v>10</v>
      </c>
      <c r="F15" s="165" t="s">
        <v>11</v>
      </c>
      <c r="G15" s="167">
        <v>4000</v>
      </c>
    </row>
    <row r="16" spans="4:8" x14ac:dyDescent="0.3">
      <c r="D16" s="166">
        <v>14</v>
      </c>
      <c r="E16" s="165" t="s">
        <v>12</v>
      </c>
      <c r="F16" s="165" t="s">
        <v>13</v>
      </c>
      <c r="G16" s="167">
        <v>4000</v>
      </c>
    </row>
    <row r="17" spans="4:7" x14ac:dyDescent="0.3">
      <c r="D17" s="166">
        <v>15</v>
      </c>
      <c r="E17" s="165" t="s">
        <v>0</v>
      </c>
      <c r="F17" s="165" t="s">
        <v>1</v>
      </c>
      <c r="G17" s="167">
        <v>1000</v>
      </c>
    </row>
    <row r="18" spans="4:7" x14ac:dyDescent="0.3">
      <c r="D18" s="166">
        <v>16</v>
      </c>
      <c r="E18" s="165" t="s">
        <v>2</v>
      </c>
      <c r="F18" s="165" t="s">
        <v>3</v>
      </c>
      <c r="G18" s="167">
        <v>5000</v>
      </c>
    </row>
    <row r="19" spans="4:7" x14ac:dyDescent="0.3">
      <c r="D19" s="166">
        <v>17</v>
      </c>
      <c r="E19" s="165" t="s">
        <v>4</v>
      </c>
      <c r="F19" s="165" t="s">
        <v>5</v>
      </c>
      <c r="G19" s="167">
        <v>1000</v>
      </c>
    </row>
    <row r="20" spans="4:7" x14ac:dyDescent="0.3">
      <c r="D20" s="166">
        <v>18</v>
      </c>
      <c r="E20" s="165" t="s">
        <v>6</v>
      </c>
      <c r="F20" s="165" t="s">
        <v>7</v>
      </c>
      <c r="G20" s="167">
        <v>3500</v>
      </c>
    </row>
    <row r="21" spans="4:7" x14ac:dyDescent="0.3">
      <c r="D21" s="166">
        <v>19</v>
      </c>
      <c r="E21" s="165" t="s">
        <v>8</v>
      </c>
      <c r="F21" s="165" t="s">
        <v>9</v>
      </c>
      <c r="G21" s="167">
        <v>3000</v>
      </c>
    </row>
    <row r="22" spans="4:7" x14ac:dyDescent="0.3">
      <c r="D22" s="166">
        <v>20</v>
      </c>
      <c r="E22" s="165" t="s">
        <v>10</v>
      </c>
      <c r="F22" s="165" t="s">
        <v>11</v>
      </c>
      <c r="G22" s="167">
        <v>4000</v>
      </c>
    </row>
    <row r="23" spans="4:7" x14ac:dyDescent="0.3">
      <c r="D23" s="166">
        <v>21</v>
      </c>
      <c r="E23" s="165" t="s">
        <v>12</v>
      </c>
      <c r="F23" s="165" t="s">
        <v>13</v>
      </c>
      <c r="G23" s="167">
        <v>4000</v>
      </c>
    </row>
    <row r="24" spans="4:7" x14ac:dyDescent="0.3">
      <c r="D24" s="166">
        <v>22</v>
      </c>
      <c r="E24" s="165" t="s">
        <v>0</v>
      </c>
      <c r="F24" s="165" t="s">
        <v>1</v>
      </c>
      <c r="G24" s="167">
        <v>1000</v>
      </c>
    </row>
    <row r="25" spans="4:7" x14ac:dyDescent="0.3">
      <c r="D25" s="166">
        <v>23</v>
      </c>
      <c r="E25" s="165" t="s">
        <v>2</v>
      </c>
      <c r="F25" s="165" t="s">
        <v>3</v>
      </c>
      <c r="G25" s="167">
        <v>5000</v>
      </c>
    </row>
    <row r="26" spans="4:7" x14ac:dyDescent="0.3">
      <c r="D26" s="166">
        <v>24</v>
      </c>
      <c r="E26" s="165" t="s">
        <v>4</v>
      </c>
      <c r="F26" s="165" t="s">
        <v>5</v>
      </c>
      <c r="G26" s="167">
        <v>1000</v>
      </c>
    </row>
    <row r="27" spans="4:7" x14ac:dyDescent="0.3">
      <c r="D27" s="166">
        <v>25</v>
      </c>
      <c r="E27" s="165" t="s">
        <v>6</v>
      </c>
      <c r="F27" s="165" t="s">
        <v>7</v>
      </c>
      <c r="G27" s="167">
        <v>3500</v>
      </c>
    </row>
    <row r="28" spans="4:7" x14ac:dyDescent="0.3">
      <c r="D28" s="166">
        <v>26</v>
      </c>
      <c r="E28" s="165" t="s">
        <v>8</v>
      </c>
      <c r="F28" s="165" t="s">
        <v>9</v>
      </c>
      <c r="G28" s="167">
        <v>3000</v>
      </c>
    </row>
    <row r="29" spans="4:7" x14ac:dyDescent="0.3">
      <c r="D29" s="166">
        <v>27</v>
      </c>
      <c r="E29" s="165" t="s">
        <v>10</v>
      </c>
      <c r="F29" s="165" t="s">
        <v>11</v>
      </c>
      <c r="G29" s="167">
        <v>4000</v>
      </c>
    </row>
    <row r="30" spans="4:7" x14ac:dyDescent="0.3">
      <c r="D30" s="166">
        <v>28</v>
      </c>
      <c r="E30" s="165" t="s">
        <v>12</v>
      </c>
      <c r="F30" s="165" t="s">
        <v>13</v>
      </c>
      <c r="G30" s="167">
        <v>4000</v>
      </c>
    </row>
    <row r="31" spans="4:7" x14ac:dyDescent="0.3">
      <c r="D31" s="166">
        <v>29</v>
      </c>
      <c r="E31" s="165" t="s">
        <v>0</v>
      </c>
      <c r="F31" s="165" t="s">
        <v>1</v>
      </c>
      <c r="G31" s="167">
        <v>1000</v>
      </c>
    </row>
    <row r="32" spans="4:7" x14ac:dyDescent="0.3">
      <c r="D32" s="166">
        <v>30</v>
      </c>
      <c r="E32" s="165" t="s">
        <v>2</v>
      </c>
      <c r="F32" s="165" t="s">
        <v>3</v>
      </c>
      <c r="G32" s="167">
        <v>5000</v>
      </c>
    </row>
    <row r="33" spans="4:8" x14ac:dyDescent="0.3">
      <c r="D33" s="166">
        <v>31</v>
      </c>
      <c r="E33" s="165" t="s">
        <v>4</v>
      </c>
      <c r="F33" s="165" t="s">
        <v>5</v>
      </c>
      <c r="G33" s="167">
        <v>1000</v>
      </c>
    </row>
    <row r="34" spans="4:8" x14ac:dyDescent="0.3">
      <c r="D34" s="166">
        <v>32</v>
      </c>
      <c r="E34" s="165" t="s">
        <v>6</v>
      </c>
      <c r="F34" s="165" t="s">
        <v>7</v>
      </c>
      <c r="G34" s="167">
        <v>3500</v>
      </c>
    </row>
    <row r="35" spans="4:8" x14ac:dyDescent="0.3">
      <c r="D35" s="166">
        <v>33</v>
      </c>
      <c r="E35" s="165" t="s">
        <v>8</v>
      </c>
      <c r="F35" s="165" t="s">
        <v>9</v>
      </c>
      <c r="G35" s="167">
        <v>3000</v>
      </c>
    </row>
    <row r="36" spans="4:8" x14ac:dyDescent="0.3">
      <c r="D36" s="166">
        <v>34</v>
      </c>
      <c r="E36" s="165" t="s">
        <v>10</v>
      </c>
      <c r="F36" s="165" t="s">
        <v>11</v>
      </c>
      <c r="G36" s="167">
        <v>4000</v>
      </c>
    </row>
    <row r="37" spans="4:8" x14ac:dyDescent="0.3">
      <c r="D37" s="171">
        <v>35</v>
      </c>
      <c r="E37" s="172" t="s">
        <v>12</v>
      </c>
      <c r="F37" s="172" t="s">
        <v>13</v>
      </c>
      <c r="G37" s="173">
        <v>4000</v>
      </c>
    </row>
    <row r="38" spans="4:8" x14ac:dyDescent="0.3">
      <c r="D38" s="171" t="s">
        <v>43</v>
      </c>
      <c r="E38" s="172"/>
      <c r="F38" s="172"/>
      <c r="G38" s="173">
        <f>SUBTOTAL(109,Table8[Cost Price])</f>
        <v>107500</v>
      </c>
      <c r="H38" s="164"/>
    </row>
  </sheetData>
  <pageMargins left="0.25" right="0.25" top="0.75" bottom="0.75" header="0.3" footer="0.3"/>
  <pageSetup paperSize="7" orientation="landscape"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6CA01-335D-488B-A1AE-66AD9BC631A3}">
  <dimension ref="B4:G9"/>
  <sheetViews>
    <sheetView workbookViewId="0">
      <selection activeCell="C19" sqref="C19"/>
    </sheetView>
  </sheetViews>
  <sheetFormatPr defaultColWidth="16.33203125" defaultRowHeight="21" customHeight="1" x14ac:dyDescent="0.3"/>
  <cols>
    <col min="1" max="1" width="10.33203125" style="180" customWidth="1"/>
    <col min="2" max="16384" width="16.33203125" style="180"/>
  </cols>
  <sheetData>
    <row r="4" spans="2:7" ht="21" customHeight="1" x14ac:dyDescent="0.3">
      <c r="B4" s="656" t="s">
        <v>310</v>
      </c>
      <c r="C4" s="179">
        <v>400</v>
      </c>
      <c r="D4" s="179">
        <v>200</v>
      </c>
      <c r="E4" s="179">
        <v>100</v>
      </c>
      <c r="F4" s="179">
        <v>400</v>
      </c>
      <c r="G4" s="179"/>
    </row>
    <row r="5" spans="2:7" ht="21" customHeight="1" x14ac:dyDescent="0.3">
      <c r="B5" s="656" t="s">
        <v>311</v>
      </c>
      <c r="C5" s="179" t="s">
        <v>581</v>
      </c>
      <c r="D5" s="179" t="s">
        <v>582</v>
      </c>
      <c r="E5" s="179" t="s">
        <v>586</v>
      </c>
      <c r="F5" s="179" t="s">
        <v>660</v>
      </c>
      <c r="G5" s="179" t="s">
        <v>661</v>
      </c>
    </row>
    <row r="6" spans="2:7" ht="21" customHeight="1" x14ac:dyDescent="0.3">
      <c r="B6" s="656" t="s">
        <v>18</v>
      </c>
      <c r="C6" s="657">
        <v>44997</v>
      </c>
      <c r="D6" s="657">
        <v>45392</v>
      </c>
      <c r="E6" s="657">
        <v>45976</v>
      </c>
      <c r="F6" s="657">
        <v>44927</v>
      </c>
      <c r="G6" s="179"/>
    </row>
    <row r="7" spans="2:7" ht="21" customHeight="1" x14ac:dyDescent="0.3">
      <c r="B7" s="656" t="s">
        <v>313</v>
      </c>
      <c r="C7" s="657">
        <v>44145</v>
      </c>
      <c r="D7" s="657">
        <v>36255</v>
      </c>
      <c r="E7" s="657">
        <v>41030</v>
      </c>
      <c r="F7" s="657"/>
      <c r="G7" s="179"/>
    </row>
    <row r="8" spans="2:7" ht="21" customHeight="1" x14ac:dyDescent="0.3">
      <c r="B8" s="656" t="s">
        <v>312</v>
      </c>
      <c r="C8" s="658">
        <v>0.5</v>
      </c>
      <c r="D8" s="658">
        <v>0.625</v>
      </c>
      <c r="E8" s="658">
        <v>0.875</v>
      </c>
      <c r="F8" s="658">
        <v>0.41666666666666669</v>
      </c>
      <c r="G8" s="658">
        <v>0.35416666666666669</v>
      </c>
    </row>
    <row r="9" spans="2:7" ht="21" customHeight="1" x14ac:dyDescent="0.3">
      <c r="B9" s="656" t="s">
        <v>314</v>
      </c>
      <c r="C9" s="658">
        <v>0.25</v>
      </c>
      <c r="D9" s="658">
        <v>0.79166666666666663</v>
      </c>
      <c r="E9" s="658">
        <v>0.58333333333333337</v>
      </c>
      <c r="F9" s="658">
        <v>0.70833333333333337</v>
      </c>
      <c r="G9" s="658"/>
    </row>
  </sheetData>
  <dataValidations count="7">
    <dataValidation type="textLength" errorStyle="information" allowBlank="1" showInputMessage="1" showErrorMessage="1" errorTitle="Wait" error="Enter values only between 4 to 7 characters" promptTitle="INPUT CRITERIA" prompt="Values only between 4 and 7 characters" sqref="B14:H14" xr:uid="{AF519F0C-C1A4-4937-94A5-66A23B6991A1}">
      <formula1>4</formula1>
      <formula2>7</formula2>
    </dataValidation>
    <dataValidation type="whole" operator="lessThan" allowBlank="1" showInputMessage="1" showErrorMessage="1" promptTitle="CRITERIA" prompt="Values only less than 500 !" sqref="C4:G4" xr:uid="{E0CBF7D8-573E-4501-8F21-5C2D28F393AD}">
      <formula1>500</formula1>
    </dataValidation>
    <dataValidation type="textLength" errorStyle="warning" allowBlank="1" showInputMessage="1" showErrorMessage="1" errorTitle="WAIT !" error="You have NOT entered the no. of char. between 5 and 8." sqref="C5:G5" xr:uid="{483BD015-9721-4CE2-B85E-6E99FB99A9FD}">
      <formula1>5</formula1>
      <formula2>8</formula2>
    </dataValidation>
    <dataValidation type="date" allowBlank="1" showInputMessage="1" showErrorMessage="1" promptTitle="CRITERIA" prompt="DAtes only between 1/1/2023 and 1/12/2025" sqref="C6:G6" xr:uid="{8CA1888E-24C2-41C5-86FA-EA3579B76DCD}">
      <formula1>44927</formula1>
      <formula2>45992</formula2>
    </dataValidation>
    <dataValidation type="date" operator="lessThan" allowBlank="1" showInputMessage="1" showErrorMessage="1" sqref="C7:G7" xr:uid="{DF0BF3F9-805B-4C2F-A745-1BC05EA4E034}">
      <formula1>45638</formula1>
    </dataValidation>
    <dataValidation type="time" errorStyle="warning" operator="greaterThan" allowBlank="1" showInputMessage="1" showErrorMessage="1" errorTitle="WAIT !" error="Time entered by you is lesser than 11:00 AM" sqref="C8:G8" xr:uid="{D486409E-75D7-4B52-BB2D-AADB95FF5291}">
      <formula1>0.458333333333333</formula1>
    </dataValidation>
    <dataValidation type="time" operator="notEqual" allowBlank="1" showInputMessage="1" showErrorMessage="1" sqref="C9:G9" xr:uid="{80B7F132-929E-438F-A32D-C7FF18D2A971}">
      <formula1>0.208333333333333</formula1>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37F27-C7D2-421A-AD4E-A96135115D86}">
  <dimension ref="C3:F7"/>
  <sheetViews>
    <sheetView workbookViewId="0">
      <selection activeCell="C19" sqref="C19"/>
    </sheetView>
  </sheetViews>
  <sheetFormatPr defaultColWidth="8.77734375" defaultRowHeight="17.399999999999999" x14ac:dyDescent="0.3"/>
  <cols>
    <col min="1" max="2" width="8.77734375" style="177"/>
    <col min="3" max="3" width="16.77734375" style="177" customWidth="1"/>
    <col min="4" max="4" width="15.21875" style="177" customWidth="1"/>
    <col min="5" max="5" width="16.77734375" style="177" customWidth="1"/>
    <col min="6" max="6" width="21.88671875" style="177" customWidth="1"/>
    <col min="7" max="7" width="11.44140625" style="177" customWidth="1"/>
    <col min="8" max="16384" width="8.77734375" style="177"/>
  </cols>
  <sheetData>
    <row r="3" spans="3:6" ht="36" customHeight="1" x14ac:dyDescent="0.3">
      <c r="C3" s="176" t="s">
        <v>315</v>
      </c>
      <c r="D3" s="176" t="s">
        <v>321</v>
      </c>
      <c r="E3" s="176" t="s">
        <v>316</v>
      </c>
      <c r="F3" s="176" t="s">
        <v>320</v>
      </c>
    </row>
    <row r="4" spans="3:6" x14ac:dyDescent="0.3">
      <c r="C4" s="178" t="s">
        <v>324</v>
      </c>
      <c r="D4" s="178">
        <v>13</v>
      </c>
      <c r="E4" s="178">
        <v>4</v>
      </c>
      <c r="F4" s="178" t="s">
        <v>322</v>
      </c>
    </row>
    <row r="5" spans="3:6" x14ac:dyDescent="0.3">
      <c r="C5" s="178" t="s">
        <v>325</v>
      </c>
      <c r="D5" s="178">
        <v>19</v>
      </c>
      <c r="E5" s="178">
        <v>9</v>
      </c>
      <c r="F5" s="178" t="s">
        <v>328</v>
      </c>
    </row>
    <row r="6" spans="3:6" x14ac:dyDescent="0.3">
      <c r="C6" s="178" t="s">
        <v>327</v>
      </c>
      <c r="D6" s="178">
        <v>18</v>
      </c>
      <c r="E6" s="178">
        <v>5</v>
      </c>
      <c r="F6" s="178" t="s">
        <v>663</v>
      </c>
    </row>
    <row r="7" spans="3:6" x14ac:dyDescent="0.3">
      <c r="C7" s="178" t="s">
        <v>317</v>
      </c>
      <c r="D7" s="178">
        <v>12</v>
      </c>
      <c r="E7" s="178">
        <v>7</v>
      </c>
      <c r="F7" s="178" t="s">
        <v>663</v>
      </c>
    </row>
  </sheetData>
  <dataValidations count="2">
    <dataValidation type="list" allowBlank="1" showInputMessage="1" showErrorMessage="1" sqref="E4:E7" xr:uid="{656095C2-A3BC-480B-BACD-34E1075B18FA}">
      <formula1>GRADES</formula1>
    </dataValidation>
    <dataValidation type="list" allowBlank="1" showInputMessage="1" showErrorMessage="1" sqref="F4:F7" xr:uid="{2C0538D4-073E-4596-AAB7-7B3B9C72DC6D}">
      <formula1>"YES, NO, NOT SURE"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13519AD-4D9C-4C4C-B527-B77D66CF0D62}">
          <x14:formula1>
            <xm:f>'Data for dropdown'!$B$3:$B$9</xm:f>
          </x14:formula1>
          <xm:sqref>C4:C7</xm:sqref>
        </x14:dataValidation>
        <x14:dataValidation type="list" allowBlank="1" showInputMessage="1" showErrorMessage="1" xr:uid="{16F28F9D-32B5-4356-A0B6-3835A2F55140}">
          <x14:formula1>
            <xm:f>'Data for dropdown'!$D$6:$D$11</xm:f>
          </x14:formula1>
          <xm:sqref>D4:D7</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E0515-BE08-412E-BD86-60EC83ABC28E}">
  <dimension ref="B2:F11"/>
  <sheetViews>
    <sheetView workbookViewId="0">
      <selection activeCell="C19" sqref="C19"/>
    </sheetView>
  </sheetViews>
  <sheetFormatPr defaultColWidth="8.77734375" defaultRowHeight="18" x14ac:dyDescent="0.35"/>
  <cols>
    <col min="1" max="1" width="8.77734375" style="659"/>
    <col min="2" max="2" width="17.21875" style="659" customWidth="1"/>
    <col min="3" max="5" width="8.77734375" style="659"/>
    <col min="6" max="6" width="9.44140625" style="659" customWidth="1"/>
    <col min="7" max="16384" width="8.77734375" style="659"/>
  </cols>
  <sheetData>
    <row r="2" spans="2:6" x14ac:dyDescent="0.35">
      <c r="B2" s="653" t="s">
        <v>112</v>
      </c>
    </row>
    <row r="3" spans="2:6" x14ac:dyDescent="0.35">
      <c r="B3" s="660" t="s">
        <v>326</v>
      </c>
      <c r="F3" s="653" t="s">
        <v>319</v>
      </c>
    </row>
    <row r="4" spans="2:6" x14ac:dyDescent="0.35">
      <c r="B4" s="660" t="s">
        <v>327</v>
      </c>
      <c r="F4" s="660">
        <v>5</v>
      </c>
    </row>
    <row r="5" spans="2:6" x14ac:dyDescent="0.35">
      <c r="B5" s="659" t="s">
        <v>662</v>
      </c>
      <c r="D5" s="653" t="s">
        <v>318</v>
      </c>
      <c r="F5" s="660">
        <v>6</v>
      </c>
    </row>
    <row r="6" spans="2:6" x14ac:dyDescent="0.35">
      <c r="B6" s="660" t="s">
        <v>324</v>
      </c>
      <c r="D6" s="660">
        <v>15</v>
      </c>
      <c r="F6" s="660">
        <v>10</v>
      </c>
    </row>
    <row r="7" spans="2:6" x14ac:dyDescent="0.35">
      <c r="B7" s="660" t="s">
        <v>323</v>
      </c>
      <c r="D7" s="660">
        <v>12</v>
      </c>
      <c r="F7" s="660">
        <v>4</v>
      </c>
    </row>
    <row r="8" spans="2:6" x14ac:dyDescent="0.35">
      <c r="B8" s="660" t="s">
        <v>325</v>
      </c>
      <c r="D8" s="660">
        <v>19</v>
      </c>
      <c r="F8" s="660">
        <v>9</v>
      </c>
    </row>
    <row r="9" spans="2:6" x14ac:dyDescent="0.35">
      <c r="B9" s="660" t="s">
        <v>317</v>
      </c>
      <c r="D9" s="660">
        <v>13</v>
      </c>
      <c r="F9" s="660">
        <v>8</v>
      </c>
    </row>
    <row r="10" spans="2:6" x14ac:dyDescent="0.35">
      <c r="D10" s="660">
        <v>18</v>
      </c>
      <c r="F10" s="660">
        <v>7</v>
      </c>
    </row>
    <row r="11" spans="2:6" x14ac:dyDescent="0.35">
      <c r="D11" s="660">
        <v>20</v>
      </c>
    </row>
  </sheetData>
  <phoneticPr fontId="68"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C19D-9290-4E8B-82AC-D19FA776EE83}">
  <dimension ref="B2:I21"/>
  <sheetViews>
    <sheetView workbookViewId="0">
      <selection activeCell="C19" sqref="C19"/>
    </sheetView>
  </sheetViews>
  <sheetFormatPr defaultColWidth="8.77734375" defaultRowHeight="17.399999999999999" x14ac:dyDescent="0.3"/>
  <cols>
    <col min="1" max="1" width="8.77734375" style="180"/>
    <col min="2" max="2" width="14.109375" style="180" customWidth="1"/>
    <col min="3" max="3" width="17" style="180" customWidth="1"/>
    <col min="4" max="4" width="11.77734375" style="180" customWidth="1"/>
    <col min="5" max="5" width="17.33203125" style="180" customWidth="1"/>
    <col min="6" max="6" width="15.77734375" style="180" customWidth="1"/>
    <col min="7" max="7" width="21.77734375" style="180" customWidth="1"/>
    <col min="8" max="8" width="14.21875" style="180" customWidth="1"/>
    <col min="9" max="9" width="14.88671875" style="180" customWidth="1"/>
    <col min="10" max="10" width="10.21875" style="180" customWidth="1"/>
    <col min="11" max="11" width="10.5546875" style="180" customWidth="1"/>
    <col min="12" max="16384" width="8.77734375" style="180"/>
  </cols>
  <sheetData>
    <row r="2" spans="2:9" ht="28.05" customHeight="1" x14ac:dyDescent="0.3">
      <c r="F2" s="184" t="s">
        <v>347</v>
      </c>
      <c r="G2" s="183" t="s">
        <v>329</v>
      </c>
      <c r="H2" s="183" t="s">
        <v>306</v>
      </c>
      <c r="I2" s="183" t="s">
        <v>330</v>
      </c>
    </row>
    <row r="3" spans="2:9" x14ac:dyDescent="0.3">
      <c r="F3" s="723" t="s">
        <v>348</v>
      </c>
      <c r="G3" s="179" t="s">
        <v>331</v>
      </c>
      <c r="H3" s="179">
        <v>10</v>
      </c>
      <c r="I3" s="179" t="s">
        <v>339</v>
      </c>
    </row>
    <row r="4" spans="2:9" x14ac:dyDescent="0.3">
      <c r="F4" s="723"/>
      <c r="G4" s="179" t="s">
        <v>332</v>
      </c>
      <c r="H4" s="179">
        <v>20</v>
      </c>
      <c r="I4" s="179" t="s">
        <v>340</v>
      </c>
    </row>
    <row r="5" spans="2:9" x14ac:dyDescent="0.3">
      <c r="F5" s="723"/>
      <c r="G5" s="179" t="s">
        <v>333</v>
      </c>
      <c r="H5" s="179">
        <v>30</v>
      </c>
      <c r="I5" s="179" t="s">
        <v>341</v>
      </c>
    </row>
    <row r="6" spans="2:9" x14ac:dyDescent="0.3">
      <c r="B6" s="183" t="s">
        <v>347</v>
      </c>
      <c r="C6" s="183" t="s">
        <v>348</v>
      </c>
      <c r="F6" s="723"/>
      <c r="G6" s="179" t="s">
        <v>336</v>
      </c>
      <c r="H6" s="179">
        <v>40</v>
      </c>
      <c r="I6" s="179" t="s">
        <v>342</v>
      </c>
    </row>
    <row r="7" spans="2:9" x14ac:dyDescent="0.3">
      <c r="B7" s="179" t="s">
        <v>306</v>
      </c>
      <c r="C7" s="179"/>
      <c r="F7" s="723"/>
      <c r="G7" s="179" t="s">
        <v>334</v>
      </c>
      <c r="H7" s="179">
        <v>50</v>
      </c>
      <c r="I7" s="179" t="s">
        <v>343</v>
      </c>
    </row>
    <row r="8" spans="2:9" x14ac:dyDescent="0.3">
      <c r="B8" s="179" t="s">
        <v>330</v>
      </c>
      <c r="C8" s="179" t="s">
        <v>346</v>
      </c>
      <c r="F8" s="723"/>
      <c r="G8" s="179" t="s">
        <v>337</v>
      </c>
      <c r="H8" s="179">
        <v>60</v>
      </c>
      <c r="I8" s="179" t="s">
        <v>344</v>
      </c>
    </row>
    <row r="9" spans="2:9" x14ac:dyDescent="0.3">
      <c r="B9" s="179" t="s">
        <v>329</v>
      </c>
      <c r="C9" s="179" t="s">
        <v>336</v>
      </c>
      <c r="F9" s="723"/>
      <c r="G9" s="179" t="s">
        <v>335</v>
      </c>
      <c r="H9" s="179">
        <v>70</v>
      </c>
      <c r="I9" s="179" t="s">
        <v>346</v>
      </c>
    </row>
    <row r="10" spans="2:9" x14ac:dyDescent="0.3">
      <c r="B10" s="179" t="s">
        <v>306</v>
      </c>
      <c r="C10" s="179">
        <v>30</v>
      </c>
      <c r="F10" s="723"/>
      <c r="G10" s="179" t="s">
        <v>338</v>
      </c>
      <c r="H10" s="179">
        <v>80</v>
      </c>
      <c r="I10" s="179" t="s">
        <v>345</v>
      </c>
    </row>
    <row r="11" spans="2:9" x14ac:dyDescent="0.3">
      <c r="B11" s="179" t="s">
        <v>329</v>
      </c>
      <c r="C11" s="179" t="s">
        <v>332</v>
      </c>
    </row>
    <row r="12" spans="2:9" x14ac:dyDescent="0.3">
      <c r="B12" s="179"/>
      <c r="C12" s="179"/>
    </row>
    <row r="13" spans="2:9" x14ac:dyDescent="0.3">
      <c r="B13" s="179"/>
      <c r="C13" s="179"/>
    </row>
    <row r="14" spans="2:9" x14ac:dyDescent="0.3">
      <c r="B14" s="179"/>
      <c r="C14" s="179"/>
      <c r="E14" s="181" t="s">
        <v>347</v>
      </c>
      <c r="F14" s="181" t="s">
        <v>348</v>
      </c>
      <c r="G14" s="724" t="s">
        <v>349</v>
      </c>
    </row>
    <row r="15" spans="2:9" x14ac:dyDescent="0.3">
      <c r="E15" s="182" t="s">
        <v>330</v>
      </c>
      <c r="F15" s="182" t="s">
        <v>340</v>
      </c>
      <c r="G15" s="724"/>
    </row>
    <row r="16" spans="2:9" x14ac:dyDescent="0.3">
      <c r="E16" s="182" t="s">
        <v>306</v>
      </c>
      <c r="F16" s="182">
        <v>30</v>
      </c>
      <c r="G16" s="724"/>
    </row>
    <row r="17" spans="5:7" x14ac:dyDescent="0.3">
      <c r="E17" s="182" t="s">
        <v>329</v>
      </c>
      <c r="F17" s="182" t="s">
        <v>333</v>
      </c>
      <c r="G17" s="724"/>
    </row>
    <row r="18" spans="5:7" x14ac:dyDescent="0.3">
      <c r="E18" s="182"/>
      <c r="F18" s="182"/>
      <c r="G18" s="724"/>
    </row>
    <row r="19" spans="5:7" x14ac:dyDescent="0.3">
      <c r="E19" s="182"/>
      <c r="F19" s="182"/>
      <c r="G19" s="724"/>
    </row>
    <row r="20" spans="5:7" x14ac:dyDescent="0.3">
      <c r="E20" s="182"/>
      <c r="F20" s="182"/>
      <c r="G20" s="724"/>
    </row>
    <row r="21" spans="5:7" x14ac:dyDescent="0.3">
      <c r="E21" s="182"/>
      <c r="F21" s="182"/>
      <c r="G21" s="724"/>
    </row>
  </sheetData>
  <mergeCells count="2">
    <mergeCell ref="F3:F10"/>
    <mergeCell ref="G14:G21"/>
  </mergeCells>
  <dataValidations count="3">
    <dataValidation type="list" allowBlank="1" showInputMessage="1" showErrorMessage="1" sqref="B7:B14 E15:E21" xr:uid="{E4638F04-66AD-4668-A7C7-4AA3A599E136}">
      <formula1>$G$2:$I$2</formula1>
    </dataValidation>
    <dataValidation type="list" allowBlank="1" showInputMessage="1" showErrorMessage="1" sqref="C7:C14" xr:uid="{E6BEA437-340F-47F0-977E-94ED8FD720A0}">
      <formula1>INDIRECT(B7)</formula1>
    </dataValidation>
    <dataValidation type="list" allowBlank="1" showInputMessage="1" showErrorMessage="1" sqref="F15:F21" xr:uid="{000F2BBF-6F26-4CF6-9F83-356152C02C23}">
      <formula1>INDIRECT(E15:E21)</formula1>
    </dataValidation>
  </dataValidation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056A6-139C-4695-9203-E428E5F31412}">
  <dimension ref="B2:L16"/>
  <sheetViews>
    <sheetView workbookViewId="0">
      <selection activeCell="H11" sqref="H11"/>
    </sheetView>
  </sheetViews>
  <sheetFormatPr defaultColWidth="8.77734375" defaultRowHeight="18.45" customHeight="1" x14ac:dyDescent="0.3"/>
  <cols>
    <col min="1" max="1" width="8.77734375" style="146"/>
    <col min="2" max="2" width="14" style="146" customWidth="1"/>
    <col min="3" max="3" width="12.6640625" style="146" customWidth="1"/>
    <col min="4" max="4" width="16.109375" style="146" customWidth="1"/>
    <col min="5" max="5" width="15.21875" style="146" customWidth="1"/>
    <col min="6" max="6" width="8.77734375" style="146"/>
    <col min="7" max="7" width="19.5546875" style="146" customWidth="1"/>
    <col min="8" max="8" width="14.5546875" style="146" customWidth="1"/>
    <col min="9" max="9" width="16.21875" style="146" customWidth="1"/>
    <col min="10" max="10" width="16.33203125" style="146" customWidth="1"/>
    <col min="11" max="11" width="15.5546875" style="146" customWidth="1"/>
    <col min="12" max="12" width="12.88671875" style="146" customWidth="1"/>
    <col min="13" max="16384" width="8.77734375" style="146"/>
  </cols>
  <sheetData>
    <row r="2" spans="2:12" ht="22.95" customHeight="1" x14ac:dyDescent="0.3">
      <c r="B2" s="517" t="s">
        <v>18</v>
      </c>
      <c r="C2" s="517" t="s">
        <v>19</v>
      </c>
      <c r="D2" s="517" t="s">
        <v>16</v>
      </c>
      <c r="E2" s="517" t="s">
        <v>17</v>
      </c>
      <c r="G2" s="519" t="s">
        <v>350</v>
      </c>
      <c r="H2" s="512" t="s">
        <v>21</v>
      </c>
      <c r="I2" s="512" t="s">
        <v>28</v>
      </c>
      <c r="J2" s="512" t="s">
        <v>31</v>
      </c>
      <c r="K2" s="512" t="s">
        <v>29</v>
      </c>
      <c r="L2" s="110" t="s">
        <v>22</v>
      </c>
    </row>
    <row r="3" spans="2:12" ht="18.45" customHeight="1" x14ac:dyDescent="0.3">
      <c r="B3" s="513">
        <v>36533</v>
      </c>
      <c r="C3" s="513" t="s">
        <v>20</v>
      </c>
      <c r="D3" s="514" t="s">
        <v>25</v>
      </c>
      <c r="E3" s="515">
        <v>2000</v>
      </c>
      <c r="G3" s="110"/>
      <c r="H3" s="110"/>
      <c r="I3" s="110"/>
      <c r="J3" s="110"/>
      <c r="K3" s="110"/>
      <c r="L3" s="110"/>
    </row>
    <row r="4" spans="2:12" ht="28.95" customHeight="1" x14ac:dyDescent="0.3">
      <c r="B4" s="513">
        <v>36531</v>
      </c>
      <c r="C4" s="513" t="s">
        <v>20</v>
      </c>
      <c r="D4" s="514" t="s">
        <v>21</v>
      </c>
      <c r="E4" s="515">
        <v>4000</v>
      </c>
      <c r="G4" s="520" t="s">
        <v>351</v>
      </c>
      <c r="H4" s="160">
        <f>MATCH(H2, D3:D16)</f>
        <v>2</v>
      </c>
      <c r="I4" s="160">
        <f>MATCH(I2, D3:D16, 0)</f>
        <v>7</v>
      </c>
      <c r="J4" s="160">
        <f>MATCH(J2, D3:D16, 0)</f>
        <v>10</v>
      </c>
      <c r="K4" s="160">
        <f>MATCH(K2, D3:D16, 0)</f>
        <v>8</v>
      </c>
      <c r="L4" s="110">
        <f>MATCH(L2, D3:D16, 0)</f>
        <v>3</v>
      </c>
    </row>
    <row r="5" spans="2:12" ht="18.45" customHeight="1" x14ac:dyDescent="0.3">
      <c r="B5" s="513">
        <v>36542</v>
      </c>
      <c r="C5" s="513" t="s">
        <v>20</v>
      </c>
      <c r="D5" s="514" t="s">
        <v>22</v>
      </c>
      <c r="E5" s="515">
        <v>6000</v>
      </c>
    </row>
    <row r="6" spans="2:12" ht="18.45" customHeight="1" x14ac:dyDescent="0.3">
      <c r="B6" s="513">
        <v>36531</v>
      </c>
      <c r="C6" s="513" t="s">
        <v>20</v>
      </c>
      <c r="D6" s="514" t="s">
        <v>23</v>
      </c>
      <c r="E6" s="515">
        <v>10000</v>
      </c>
    </row>
    <row r="7" spans="2:12" ht="18.45" customHeight="1" x14ac:dyDescent="0.3">
      <c r="B7" s="513">
        <v>36526</v>
      </c>
      <c r="C7" s="513" t="s">
        <v>24</v>
      </c>
      <c r="D7" s="514" t="s">
        <v>26</v>
      </c>
      <c r="E7" s="515">
        <v>14000</v>
      </c>
      <c r="G7" s="521" t="s">
        <v>353</v>
      </c>
      <c r="H7" s="512">
        <v>2</v>
      </c>
      <c r="I7" s="512">
        <v>4</v>
      </c>
      <c r="J7" s="512">
        <v>1</v>
      </c>
    </row>
    <row r="8" spans="2:12" ht="18.45" customHeight="1" x14ac:dyDescent="0.3">
      <c r="B8" s="513">
        <v>36528</v>
      </c>
      <c r="C8" s="513" t="s">
        <v>24</v>
      </c>
      <c r="D8" s="514" t="s">
        <v>27</v>
      </c>
      <c r="E8" s="515">
        <v>16000</v>
      </c>
      <c r="G8" s="519" t="s">
        <v>352</v>
      </c>
      <c r="H8" s="512">
        <v>3</v>
      </c>
      <c r="I8" s="512">
        <v>9</v>
      </c>
      <c r="J8" s="512">
        <v>6</v>
      </c>
    </row>
    <row r="9" spans="2:12" ht="18.45" customHeight="1" x14ac:dyDescent="0.3">
      <c r="B9" s="513">
        <v>36545</v>
      </c>
      <c r="C9" s="514" t="s">
        <v>24</v>
      </c>
      <c r="D9" s="514" t="s">
        <v>28</v>
      </c>
      <c r="E9" s="515">
        <v>20000</v>
      </c>
      <c r="G9" s="110"/>
      <c r="H9" s="110"/>
      <c r="I9" s="110"/>
      <c r="J9" s="110"/>
    </row>
    <row r="10" spans="2:12" ht="30" customHeight="1" x14ac:dyDescent="0.3">
      <c r="B10" s="513">
        <v>36535</v>
      </c>
      <c r="C10" s="513" t="s">
        <v>24</v>
      </c>
      <c r="D10" s="514" t="s">
        <v>29</v>
      </c>
      <c r="E10" s="515">
        <v>25000</v>
      </c>
      <c r="G10" s="520" t="s">
        <v>544</v>
      </c>
      <c r="H10" s="160" t="str" cm="1">
        <f t="array" ref="H10">INDEX(D3:D16, H8)</f>
        <v>Mobile</v>
      </c>
      <c r="I10" s="160" t="str" cm="1">
        <f t="array" ref="I10">INDEX(C3:C16, I8)</f>
        <v>South</v>
      </c>
      <c r="J10" s="160" cm="1">
        <f t="array" ref="J10">INDEX(E3:E16, J8)</f>
        <v>16000</v>
      </c>
    </row>
    <row r="11" spans="2:12" ht="30" customHeight="1" x14ac:dyDescent="0.3">
      <c r="B11" s="513">
        <v>36540</v>
      </c>
      <c r="C11" s="513" t="s">
        <v>30</v>
      </c>
      <c r="D11" s="514" t="s">
        <v>25</v>
      </c>
      <c r="E11" s="515">
        <v>28000</v>
      </c>
      <c r="G11" s="520" t="s">
        <v>545</v>
      </c>
      <c r="H11" s="110" t="str" cm="1">
        <f t="array" ref="H11">INDEX(B3:E16, H8, H7)</f>
        <v>East</v>
      </c>
      <c r="I11" s="110" cm="1">
        <f t="array" ref="I11">INDEX(B3:E16, I8, I7)</f>
        <v>28000</v>
      </c>
      <c r="J11" s="516" cm="1">
        <f t="array" ref="J11">INDEX(B3:E16, J8, J7)</f>
        <v>36528</v>
      </c>
    </row>
    <row r="12" spans="2:12" ht="18.45" customHeight="1" x14ac:dyDescent="0.3">
      <c r="B12" s="513">
        <v>36538</v>
      </c>
      <c r="C12" s="513" t="s">
        <v>30</v>
      </c>
      <c r="D12" s="514" t="s">
        <v>31</v>
      </c>
      <c r="E12" s="515">
        <v>30000</v>
      </c>
      <c r="G12" s="518"/>
    </row>
    <row r="13" spans="2:12" ht="18.45" customHeight="1" x14ac:dyDescent="0.3">
      <c r="B13" s="513">
        <v>36538</v>
      </c>
      <c r="C13" s="513" t="s">
        <v>30</v>
      </c>
      <c r="D13" s="514" t="s">
        <v>32</v>
      </c>
      <c r="E13" s="515">
        <v>20000</v>
      </c>
    </row>
    <row r="14" spans="2:12" ht="18.45" customHeight="1" x14ac:dyDescent="0.3">
      <c r="B14" s="513">
        <v>36536</v>
      </c>
      <c r="C14" s="513" t="s">
        <v>33</v>
      </c>
      <c r="D14" s="514" t="s">
        <v>26</v>
      </c>
      <c r="E14" s="515">
        <v>36000</v>
      </c>
    </row>
    <row r="15" spans="2:12" ht="18.45" customHeight="1" x14ac:dyDescent="0.3">
      <c r="B15" s="513">
        <v>36532</v>
      </c>
      <c r="C15" s="513" t="s">
        <v>33</v>
      </c>
      <c r="D15" s="514" t="s">
        <v>31</v>
      </c>
      <c r="E15" s="515">
        <v>38000</v>
      </c>
    </row>
    <row r="16" spans="2:12" ht="18.45" customHeight="1" x14ac:dyDescent="0.3">
      <c r="B16" s="513">
        <v>36547</v>
      </c>
      <c r="C16" s="514" t="s">
        <v>33</v>
      </c>
      <c r="D16" s="514" t="s">
        <v>22</v>
      </c>
      <c r="E16" s="515">
        <v>40000</v>
      </c>
    </row>
  </sheetData>
  <dataValidations count="1">
    <dataValidation type="list" allowBlank="1" showInputMessage="1" showErrorMessage="1" sqref="M2:N2 L2" xr:uid="{2B65282A-7337-4AA8-8904-CD2E015D2777}">
      <formula1>$D$3:$D$16</formula1>
    </dataValidation>
  </dataValidation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4C455-C4A2-470F-88A5-D3FB3F522F22}">
  <dimension ref="B3:L19"/>
  <sheetViews>
    <sheetView zoomScaleNormal="100" workbookViewId="0">
      <selection activeCell="D11" sqref="D11"/>
    </sheetView>
  </sheetViews>
  <sheetFormatPr defaultColWidth="18.33203125" defaultRowHeight="15" x14ac:dyDescent="0.3"/>
  <cols>
    <col min="1" max="1" width="7.21875" style="454" customWidth="1"/>
    <col min="2" max="2" width="18.77734375" style="454" customWidth="1"/>
    <col min="3" max="3" width="19.44140625" style="454" customWidth="1"/>
    <col min="4" max="4" width="11.88671875" style="454" customWidth="1"/>
    <col min="5" max="6" width="13.77734375" style="454" bestFit="1" customWidth="1"/>
    <col min="7" max="7" width="13.109375" style="454" customWidth="1"/>
    <col min="8" max="8" width="15.6640625" style="454" customWidth="1"/>
    <col min="9" max="9" width="13" style="454" customWidth="1"/>
    <col min="10" max="10" width="12.88671875" style="454" customWidth="1"/>
    <col min="11" max="11" width="16.109375" style="454" customWidth="1"/>
    <col min="12" max="12" width="13.88671875" style="454" bestFit="1" customWidth="1"/>
    <col min="13" max="16384" width="18.33203125" style="454"/>
  </cols>
  <sheetData>
    <row r="3" spans="2:12" ht="20.55" customHeight="1" x14ac:dyDescent="0.3"/>
    <row r="4" spans="2:12" ht="19.05" customHeight="1" x14ac:dyDescent="0.3">
      <c r="B4" s="451" t="s">
        <v>19</v>
      </c>
      <c r="C4" s="452" t="s">
        <v>20</v>
      </c>
      <c r="D4" s="453" t="s">
        <v>20</v>
      </c>
      <c r="E4" s="452" t="s">
        <v>20</v>
      </c>
      <c r="F4" s="452" t="s">
        <v>20</v>
      </c>
      <c r="G4" s="452" t="s">
        <v>20</v>
      </c>
      <c r="H4" s="452" t="s">
        <v>24</v>
      </c>
      <c r="I4" s="452" t="s">
        <v>24</v>
      </c>
      <c r="J4" s="453" t="s">
        <v>24</v>
      </c>
      <c r="K4" s="453" t="s">
        <v>24</v>
      </c>
      <c r="L4" s="452" t="s">
        <v>24</v>
      </c>
    </row>
    <row r="5" spans="2:12" ht="21.45" customHeight="1" x14ac:dyDescent="0.3">
      <c r="B5" s="451" t="s">
        <v>16</v>
      </c>
      <c r="C5" s="453" t="s">
        <v>25</v>
      </c>
      <c r="D5" s="453" t="s">
        <v>21</v>
      </c>
      <c r="E5" s="453" t="s">
        <v>22</v>
      </c>
      <c r="F5" s="453" t="s">
        <v>22</v>
      </c>
      <c r="G5" s="453" t="s">
        <v>23</v>
      </c>
      <c r="H5" s="453" t="s">
        <v>26</v>
      </c>
      <c r="I5" s="453" t="s">
        <v>27</v>
      </c>
      <c r="J5" s="453" t="s">
        <v>27</v>
      </c>
      <c r="K5" s="453" t="s">
        <v>28</v>
      </c>
      <c r="L5" s="453" t="s">
        <v>29</v>
      </c>
    </row>
    <row r="6" spans="2:12" ht="21" customHeight="1" x14ac:dyDescent="0.3">
      <c r="B6" s="451" t="s">
        <v>17</v>
      </c>
      <c r="C6" s="455">
        <v>2000</v>
      </c>
      <c r="D6" s="453">
        <v>4000</v>
      </c>
      <c r="E6" s="455">
        <v>6000</v>
      </c>
      <c r="F6" s="455">
        <v>8000</v>
      </c>
      <c r="G6" s="455">
        <v>10000</v>
      </c>
      <c r="H6" s="455">
        <v>14000</v>
      </c>
      <c r="I6" s="455">
        <v>16000</v>
      </c>
      <c r="J6" s="455">
        <v>18000</v>
      </c>
      <c r="K6" s="455">
        <v>20000</v>
      </c>
      <c r="L6" s="455">
        <v>25000</v>
      </c>
    </row>
    <row r="7" spans="2:12" ht="17.55" customHeight="1" x14ac:dyDescent="0.3">
      <c r="B7" s="451" t="s">
        <v>18</v>
      </c>
      <c r="C7" s="452">
        <v>36533</v>
      </c>
      <c r="D7" s="452">
        <v>36531</v>
      </c>
      <c r="E7" s="452">
        <v>36542</v>
      </c>
      <c r="F7" s="452">
        <v>36535</v>
      </c>
      <c r="G7" s="452">
        <v>36531</v>
      </c>
      <c r="H7" s="452">
        <v>36526</v>
      </c>
      <c r="I7" s="452">
        <v>36528</v>
      </c>
      <c r="J7" s="452">
        <v>36544</v>
      </c>
      <c r="K7" s="452">
        <v>36545</v>
      </c>
      <c r="L7" s="452">
        <v>36535</v>
      </c>
    </row>
    <row r="8" spans="2:12" x14ac:dyDescent="0.3">
      <c r="B8" s="456"/>
      <c r="C8" s="456"/>
      <c r="D8" s="457"/>
      <c r="E8" s="458"/>
    </row>
    <row r="9" spans="2:12" ht="17.55" customHeight="1" x14ac:dyDescent="0.3"/>
    <row r="10" spans="2:12" ht="16.5" customHeight="1" x14ac:dyDescent="0.3">
      <c r="B10" s="459" t="s">
        <v>350</v>
      </c>
      <c r="C10" s="459" t="s">
        <v>17</v>
      </c>
      <c r="D10" s="459" t="s">
        <v>18</v>
      </c>
    </row>
    <row r="11" spans="2:12" ht="16.95" customHeight="1" x14ac:dyDescent="0.3">
      <c r="B11" s="460" t="s">
        <v>21</v>
      </c>
      <c r="C11" s="460">
        <f>HLOOKUP(B11,$B$5:$L$6,2,FALSE)</f>
        <v>4000</v>
      </c>
      <c r="D11" s="461">
        <f>HLOOKUP(B11,$B$5:$L$7,3,FALSE)</f>
        <v>36531</v>
      </c>
      <c r="E11" s="456"/>
    </row>
    <row r="12" spans="2:12" ht="18" customHeight="1" x14ac:dyDescent="0.3">
      <c r="B12" s="460" t="s">
        <v>23</v>
      </c>
      <c r="C12" s="460">
        <f t="shared" ref="C12:C19" si="0">HLOOKUP(B12,$B$5:$L$6,2,FALSE)</f>
        <v>10000</v>
      </c>
      <c r="D12" s="461">
        <f t="shared" ref="D12:D19" si="1">HLOOKUP(B12,$B$5:$L$7,3,FALSE)</f>
        <v>36531</v>
      </c>
      <c r="E12" s="456"/>
    </row>
    <row r="13" spans="2:12" ht="18.45" customHeight="1" x14ac:dyDescent="0.3">
      <c r="B13" s="460" t="s">
        <v>27</v>
      </c>
      <c r="C13" s="460">
        <f t="shared" si="0"/>
        <v>16000</v>
      </c>
      <c r="D13" s="461">
        <f t="shared" si="1"/>
        <v>36528</v>
      </c>
      <c r="E13" s="456"/>
    </row>
    <row r="14" spans="2:12" x14ac:dyDescent="0.3">
      <c r="B14" s="460" t="s">
        <v>26</v>
      </c>
      <c r="C14" s="460">
        <f t="shared" si="0"/>
        <v>14000</v>
      </c>
      <c r="D14" s="461">
        <f t="shared" si="1"/>
        <v>36526</v>
      </c>
      <c r="E14" s="456"/>
    </row>
    <row r="15" spans="2:12" x14ac:dyDescent="0.3">
      <c r="B15" s="462" t="s">
        <v>28</v>
      </c>
      <c r="C15" s="460">
        <f t="shared" si="0"/>
        <v>20000</v>
      </c>
      <c r="D15" s="461">
        <f t="shared" si="1"/>
        <v>36545</v>
      </c>
    </row>
    <row r="16" spans="2:12" x14ac:dyDescent="0.3">
      <c r="B16" s="462" t="s">
        <v>29</v>
      </c>
      <c r="C16" s="460">
        <f t="shared" si="0"/>
        <v>25000</v>
      </c>
      <c r="D16" s="461">
        <f t="shared" si="1"/>
        <v>36535</v>
      </c>
    </row>
    <row r="17" spans="2:4" x14ac:dyDescent="0.3">
      <c r="B17" s="462" t="s">
        <v>22</v>
      </c>
      <c r="C17" s="460">
        <f t="shared" si="0"/>
        <v>6000</v>
      </c>
      <c r="D17" s="461">
        <f t="shared" si="1"/>
        <v>36542</v>
      </c>
    </row>
    <row r="18" spans="2:4" x14ac:dyDescent="0.3">
      <c r="B18" s="462" t="s">
        <v>25</v>
      </c>
      <c r="C18" s="460">
        <f t="shared" si="0"/>
        <v>2000</v>
      </c>
      <c r="D18" s="461">
        <f t="shared" si="1"/>
        <v>36533</v>
      </c>
    </row>
    <row r="19" spans="2:4" x14ac:dyDescent="0.3">
      <c r="B19" s="454" t="s">
        <v>21</v>
      </c>
      <c r="C19" s="454">
        <f t="shared" si="0"/>
        <v>4000</v>
      </c>
      <c r="D19" s="765">
        <f t="shared" si="1"/>
        <v>36531</v>
      </c>
    </row>
  </sheetData>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34554-BE90-4641-9F20-DAB3EF2B2215}">
  <dimension ref="B2:O20"/>
  <sheetViews>
    <sheetView topLeftCell="A5" zoomScaleNormal="100" workbookViewId="0">
      <selection activeCell="H6" sqref="H6"/>
    </sheetView>
  </sheetViews>
  <sheetFormatPr defaultColWidth="8.77734375" defaultRowHeight="13.8" x14ac:dyDescent="0.3"/>
  <cols>
    <col min="1" max="1" width="9.109375" style="464" customWidth="1"/>
    <col min="2" max="2" width="18.33203125" style="464" customWidth="1"/>
    <col min="3" max="3" width="13.77734375" style="464" customWidth="1"/>
    <col min="4" max="4" width="13.5546875" style="464" customWidth="1"/>
    <col min="5" max="5" width="10.5546875" style="464" customWidth="1"/>
    <col min="6" max="6" width="9.6640625" style="464" customWidth="1"/>
    <col min="7" max="7" width="16.109375" style="464" customWidth="1"/>
    <col min="8" max="8" width="14.5546875" style="464" customWidth="1"/>
    <col min="9" max="9" width="15.109375" style="464" customWidth="1"/>
    <col min="10" max="10" width="14" style="464" customWidth="1"/>
    <col min="11" max="11" width="16.21875" style="464" customWidth="1"/>
    <col min="12" max="12" width="15.6640625" style="464" bestFit="1" customWidth="1"/>
    <col min="13" max="13" width="12.33203125" style="464" bestFit="1" customWidth="1"/>
    <col min="14" max="14" width="10.77734375" style="464" bestFit="1" customWidth="1"/>
    <col min="15" max="15" width="19.109375" style="464" bestFit="1" customWidth="1"/>
    <col min="16" max="16384" width="8.77734375" style="464"/>
  </cols>
  <sheetData>
    <row r="2" spans="2:15" ht="19.05" customHeight="1" x14ac:dyDescent="0.3">
      <c r="B2" s="463" t="s">
        <v>16</v>
      </c>
      <c r="C2" s="463" t="s">
        <v>17</v>
      </c>
      <c r="D2" s="463" t="s">
        <v>18</v>
      </c>
      <c r="E2" s="463" t="s">
        <v>19</v>
      </c>
    </row>
    <row r="3" spans="2:15" x14ac:dyDescent="0.3">
      <c r="B3" s="465" t="s">
        <v>25</v>
      </c>
      <c r="C3" s="466">
        <v>2000</v>
      </c>
      <c r="D3" s="467">
        <v>36533</v>
      </c>
      <c r="E3" s="467" t="s">
        <v>20</v>
      </c>
      <c r="G3" s="478" t="s">
        <v>350</v>
      </c>
      <c r="H3" s="468" t="s">
        <v>21</v>
      </c>
      <c r="I3" s="468" t="s">
        <v>23</v>
      </c>
      <c r="J3" s="468" t="s">
        <v>27</v>
      </c>
      <c r="K3" s="469" t="s">
        <v>26</v>
      </c>
      <c r="L3" s="470" t="s">
        <v>28</v>
      </c>
      <c r="M3" s="470" t="s">
        <v>29</v>
      </c>
      <c r="N3" s="470" t="s">
        <v>22</v>
      </c>
      <c r="O3" s="470" t="s">
        <v>25</v>
      </c>
    </row>
    <row r="4" spans="2:15" x14ac:dyDescent="0.3">
      <c r="B4" s="465" t="s">
        <v>21</v>
      </c>
      <c r="C4" s="466">
        <v>4000</v>
      </c>
      <c r="D4" s="467">
        <v>36531</v>
      </c>
      <c r="E4" s="467" t="s">
        <v>20</v>
      </c>
      <c r="G4" s="478" t="s">
        <v>17</v>
      </c>
      <c r="H4" s="468">
        <f>VLOOKUP(H3,$B$2:$C$20,2,FALSE)</f>
        <v>4000</v>
      </c>
      <c r="I4" s="468">
        <f>VLOOKUP(I3,$B$2:$C$20,2,FALSE)</f>
        <v>10000</v>
      </c>
      <c r="J4" s="468">
        <f t="shared" ref="J4:O4" si="0">VLOOKUP(J3,$B$2:$C$20,2,FALSE)</f>
        <v>16000</v>
      </c>
      <c r="K4" s="468">
        <f t="shared" si="0"/>
        <v>14000</v>
      </c>
      <c r="L4" s="468">
        <f t="shared" si="0"/>
        <v>20000</v>
      </c>
      <c r="M4" s="468">
        <f t="shared" si="0"/>
        <v>25000</v>
      </c>
      <c r="N4" s="468">
        <f t="shared" si="0"/>
        <v>6000</v>
      </c>
      <c r="O4" s="468">
        <f t="shared" si="0"/>
        <v>2000</v>
      </c>
    </row>
    <row r="5" spans="2:15" x14ac:dyDescent="0.3">
      <c r="B5" s="465" t="s">
        <v>22</v>
      </c>
      <c r="C5" s="466">
        <v>6000</v>
      </c>
      <c r="D5" s="467">
        <v>36542</v>
      </c>
      <c r="E5" s="467" t="s">
        <v>20</v>
      </c>
      <c r="G5" s="478" t="s">
        <v>18</v>
      </c>
      <c r="H5" s="471">
        <f>VLOOKUP(H3,$B$2:$D$20,3,FALSE)</f>
        <v>36531</v>
      </c>
      <c r="I5" s="471">
        <f>VLOOKUP(I3,$B$2:$D$20,3,FALSE)</f>
        <v>36531</v>
      </c>
      <c r="J5" s="471">
        <f t="shared" ref="I5:O5" si="1">VLOOKUP(J3,$B$2:$D$20,3,FALSE)</f>
        <v>36528</v>
      </c>
      <c r="K5" s="471">
        <f t="shared" si="1"/>
        <v>36526</v>
      </c>
      <c r="L5" s="471">
        <f t="shared" si="1"/>
        <v>36545</v>
      </c>
      <c r="M5" s="471">
        <f t="shared" si="1"/>
        <v>36535</v>
      </c>
      <c r="N5" s="471">
        <f t="shared" si="1"/>
        <v>36542</v>
      </c>
      <c r="O5" s="471">
        <f t="shared" si="1"/>
        <v>36533</v>
      </c>
    </row>
    <row r="6" spans="2:15" x14ac:dyDescent="0.3">
      <c r="B6" s="465" t="s">
        <v>22</v>
      </c>
      <c r="C6" s="466">
        <v>8000</v>
      </c>
      <c r="D6" s="467">
        <v>36535</v>
      </c>
      <c r="E6" s="467" t="s">
        <v>20</v>
      </c>
      <c r="G6" s="479" t="s">
        <v>19</v>
      </c>
      <c r="H6" s="471" t="str">
        <f>VLOOKUP(H3,$B$2:$E$20,4,FALSE)</f>
        <v>East</v>
      </c>
      <c r="I6" s="471" t="str">
        <f t="shared" ref="I6:O6" si="2">VLOOKUP(I3,$B$2:$E$20,4,FALSE)</f>
        <v>East</v>
      </c>
      <c r="J6" s="471" t="str">
        <f t="shared" si="2"/>
        <v>North</v>
      </c>
      <c r="K6" s="471" t="str">
        <f t="shared" si="2"/>
        <v>North</v>
      </c>
      <c r="L6" s="471" t="str">
        <f t="shared" si="2"/>
        <v>North</v>
      </c>
      <c r="M6" s="471" t="str">
        <f t="shared" si="2"/>
        <v>North</v>
      </c>
      <c r="N6" s="471" t="str">
        <f t="shared" si="2"/>
        <v>East</v>
      </c>
      <c r="O6" s="471" t="str">
        <f t="shared" si="2"/>
        <v>East</v>
      </c>
    </row>
    <row r="7" spans="2:15" x14ac:dyDescent="0.3">
      <c r="B7" s="465" t="s">
        <v>23</v>
      </c>
      <c r="C7" s="466">
        <v>10000</v>
      </c>
      <c r="D7" s="467">
        <v>36531</v>
      </c>
      <c r="E7" s="467" t="s">
        <v>20</v>
      </c>
      <c r="H7" s="472"/>
      <c r="I7" s="472"/>
      <c r="J7" s="473"/>
    </row>
    <row r="8" spans="2:15" x14ac:dyDescent="0.3">
      <c r="B8" s="465" t="s">
        <v>26</v>
      </c>
      <c r="C8" s="466">
        <v>14000</v>
      </c>
      <c r="D8" s="467">
        <v>36526</v>
      </c>
      <c r="E8" s="467" t="s">
        <v>24</v>
      </c>
    </row>
    <row r="9" spans="2:15" x14ac:dyDescent="0.3">
      <c r="B9" s="465" t="s">
        <v>27</v>
      </c>
      <c r="C9" s="466">
        <v>16000</v>
      </c>
      <c r="D9" s="467">
        <v>36528</v>
      </c>
      <c r="E9" s="467" t="s">
        <v>24</v>
      </c>
    </row>
    <row r="10" spans="2:15" x14ac:dyDescent="0.3">
      <c r="B10" s="465" t="s">
        <v>27</v>
      </c>
      <c r="C10" s="466">
        <v>18000</v>
      </c>
      <c r="D10" s="467">
        <v>36544</v>
      </c>
      <c r="E10" s="465" t="s">
        <v>24</v>
      </c>
    </row>
    <row r="11" spans="2:15" x14ac:dyDescent="0.3">
      <c r="B11" s="465" t="s">
        <v>28</v>
      </c>
      <c r="C11" s="466">
        <v>20000</v>
      </c>
      <c r="D11" s="467">
        <v>36545</v>
      </c>
      <c r="E11" s="465" t="s">
        <v>24</v>
      </c>
    </row>
    <row r="12" spans="2:15" x14ac:dyDescent="0.3">
      <c r="B12" s="465" t="s">
        <v>29</v>
      </c>
      <c r="C12" s="466">
        <v>25000</v>
      </c>
      <c r="D12" s="467">
        <v>36535</v>
      </c>
      <c r="E12" s="467" t="s">
        <v>24</v>
      </c>
    </row>
    <row r="13" spans="2:15" x14ac:dyDescent="0.3">
      <c r="B13" s="465" t="s">
        <v>25</v>
      </c>
      <c r="C13" s="466">
        <v>28000</v>
      </c>
      <c r="D13" s="467">
        <v>36540</v>
      </c>
      <c r="E13" s="467" t="s">
        <v>30</v>
      </c>
    </row>
    <row r="14" spans="2:15" x14ac:dyDescent="0.3">
      <c r="B14" s="465" t="s">
        <v>31</v>
      </c>
      <c r="C14" s="466">
        <v>30000</v>
      </c>
      <c r="D14" s="467">
        <v>36538</v>
      </c>
      <c r="E14" s="467" t="s">
        <v>30</v>
      </c>
    </row>
    <row r="15" spans="2:15" x14ac:dyDescent="0.3">
      <c r="B15" s="465" t="s">
        <v>32</v>
      </c>
      <c r="C15" s="466">
        <v>20000</v>
      </c>
      <c r="D15" s="467">
        <v>36538</v>
      </c>
      <c r="E15" s="467" t="s">
        <v>30</v>
      </c>
    </row>
    <row r="16" spans="2:15" x14ac:dyDescent="0.3">
      <c r="B16" s="465" t="s">
        <v>26</v>
      </c>
      <c r="C16" s="466">
        <v>36000</v>
      </c>
      <c r="D16" s="467">
        <v>36536</v>
      </c>
      <c r="E16" s="467" t="s">
        <v>33</v>
      </c>
    </row>
    <row r="17" spans="2:5" x14ac:dyDescent="0.3">
      <c r="B17" s="465" t="s">
        <v>26</v>
      </c>
      <c r="C17" s="466">
        <v>50000</v>
      </c>
      <c r="D17" s="467">
        <v>36537</v>
      </c>
      <c r="E17" s="467" t="s">
        <v>33</v>
      </c>
    </row>
    <row r="18" spans="2:5" x14ac:dyDescent="0.3">
      <c r="B18" s="465" t="s">
        <v>31</v>
      </c>
      <c r="C18" s="466">
        <v>38000</v>
      </c>
      <c r="D18" s="467">
        <v>36532</v>
      </c>
      <c r="E18" s="467" t="s">
        <v>33</v>
      </c>
    </row>
    <row r="19" spans="2:5" x14ac:dyDescent="0.3">
      <c r="B19" s="474" t="s">
        <v>22</v>
      </c>
      <c r="C19" s="466">
        <v>40000</v>
      </c>
      <c r="D19" s="475">
        <v>36547</v>
      </c>
      <c r="E19" s="474" t="s">
        <v>33</v>
      </c>
    </row>
    <row r="20" spans="2:5" x14ac:dyDescent="0.3">
      <c r="B20" s="476" t="s">
        <v>28</v>
      </c>
      <c r="C20" s="466">
        <v>42000</v>
      </c>
      <c r="D20" s="477">
        <v>36529</v>
      </c>
      <c r="E20" s="477" t="s">
        <v>33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CB032-71C3-4523-8FB3-BB8676D48183}">
  <dimension ref="B2:J54"/>
  <sheetViews>
    <sheetView zoomScaleNormal="100" workbookViewId="0">
      <selection activeCell="C19" sqref="C19"/>
    </sheetView>
  </sheetViews>
  <sheetFormatPr defaultColWidth="8.77734375" defaultRowHeight="15.6" x14ac:dyDescent="0.3"/>
  <cols>
    <col min="1" max="1" width="8.77734375" style="485"/>
    <col min="2" max="2" width="19.6640625" style="485" customWidth="1"/>
    <col min="3" max="3" width="17.6640625" style="485" customWidth="1"/>
    <col min="4" max="4" width="15.6640625" style="485" bestFit="1" customWidth="1"/>
    <col min="5" max="5" width="16.88671875" style="485" customWidth="1"/>
    <col min="6" max="6" width="16.5546875" style="485" customWidth="1"/>
    <col min="7" max="7" width="19.21875" style="485" customWidth="1"/>
    <col min="8" max="8" width="15.77734375" style="485" customWidth="1"/>
    <col min="9" max="9" width="14.109375" style="485" customWidth="1"/>
    <col min="10" max="10" width="14.88671875" style="485" customWidth="1"/>
    <col min="11" max="11" width="15.33203125" style="485" customWidth="1"/>
    <col min="12" max="12" width="17.21875" style="485" customWidth="1"/>
    <col min="13" max="13" width="18.5546875" style="485" customWidth="1"/>
    <col min="14" max="14" width="15.21875" style="485" customWidth="1"/>
    <col min="15" max="15" width="13.21875" style="485" customWidth="1"/>
    <col min="16" max="16" width="16.109375" style="485" customWidth="1"/>
    <col min="17" max="17" width="18.77734375" style="485" customWidth="1"/>
    <col min="18" max="18" width="17" style="485" customWidth="1"/>
    <col min="19" max="19" width="13.109375" style="485" customWidth="1"/>
    <col min="20" max="20" width="17.6640625" style="485" customWidth="1"/>
    <col min="21" max="21" width="17.21875" style="485" customWidth="1"/>
    <col min="22" max="16384" width="8.77734375" style="485"/>
  </cols>
  <sheetData>
    <row r="2" spans="2:10" ht="18.45" customHeight="1" x14ac:dyDescent="0.3">
      <c r="D2" s="486"/>
      <c r="E2" s="486"/>
      <c r="F2" s="486"/>
      <c r="G2" s="486"/>
      <c r="H2" s="486"/>
    </row>
    <row r="3" spans="2:10" ht="19.05" customHeight="1" x14ac:dyDescent="0.3">
      <c r="B3" s="481" t="s">
        <v>16</v>
      </c>
      <c r="C3" s="481" t="s">
        <v>17</v>
      </c>
      <c r="D3" s="486"/>
      <c r="E3" s="486"/>
      <c r="F3" s="486"/>
      <c r="G3" s="486"/>
      <c r="H3" s="486"/>
    </row>
    <row r="4" spans="2:10" ht="16.95" customHeight="1" x14ac:dyDescent="0.3">
      <c r="B4" s="487" t="s">
        <v>25</v>
      </c>
      <c r="C4" s="487">
        <v>2000</v>
      </c>
      <c r="D4" s="486"/>
      <c r="E4" s="486"/>
      <c r="F4" s="482" t="s">
        <v>350</v>
      </c>
      <c r="G4" s="483" t="s">
        <v>17</v>
      </c>
    </row>
    <row r="5" spans="2:10" ht="16.05" customHeight="1" x14ac:dyDescent="0.3">
      <c r="B5" s="487" t="s">
        <v>26</v>
      </c>
      <c r="C5" s="487">
        <v>14000</v>
      </c>
      <c r="D5" s="486"/>
      <c r="E5" s="486"/>
      <c r="F5" s="482" t="s">
        <v>28</v>
      </c>
      <c r="G5" s="488">
        <f>LOOKUP(F5, B4:C13)</f>
        <v>20000</v>
      </c>
    </row>
    <row r="6" spans="2:10" ht="15.45" customHeight="1" x14ac:dyDescent="0.3">
      <c r="B6" s="487" t="s">
        <v>27</v>
      </c>
      <c r="C6" s="487">
        <v>16000</v>
      </c>
      <c r="D6" s="486"/>
      <c r="E6" s="489"/>
      <c r="F6" s="482" t="s">
        <v>21</v>
      </c>
      <c r="G6" s="488">
        <f>LOOKUP(F6, B4:C13)</f>
        <v>4000</v>
      </c>
    </row>
    <row r="7" spans="2:10" ht="16.5" customHeight="1" x14ac:dyDescent="0.3">
      <c r="B7" s="487" t="s">
        <v>31</v>
      </c>
      <c r="C7" s="487">
        <v>30000</v>
      </c>
      <c r="D7" s="486"/>
      <c r="E7" s="489"/>
      <c r="F7" s="482" t="s">
        <v>26</v>
      </c>
      <c r="G7" s="488">
        <f>LOOKUP(F7, B4:C13)</f>
        <v>14000</v>
      </c>
    </row>
    <row r="8" spans="2:10" ht="19.05" customHeight="1" x14ac:dyDescent="0.3">
      <c r="B8" s="487" t="s">
        <v>21</v>
      </c>
      <c r="C8" s="487">
        <v>4000</v>
      </c>
      <c r="D8" s="486"/>
      <c r="E8" s="489"/>
      <c r="F8" s="482" t="s">
        <v>32</v>
      </c>
      <c r="G8" s="488">
        <f>LOOKUP(F8, B4:C13)</f>
        <v>20000</v>
      </c>
    </row>
    <row r="9" spans="2:10" ht="19.05" customHeight="1" x14ac:dyDescent="0.3">
      <c r="B9" s="487" t="s">
        <v>32</v>
      </c>
      <c r="C9" s="487">
        <v>20000</v>
      </c>
      <c r="D9" s="486"/>
      <c r="E9" s="489"/>
      <c r="F9" s="489"/>
      <c r="G9" s="489"/>
      <c r="H9" s="489"/>
    </row>
    <row r="10" spans="2:10" ht="19.05" customHeight="1" x14ac:dyDescent="0.3">
      <c r="B10" s="487" t="s">
        <v>22</v>
      </c>
      <c r="C10" s="487">
        <v>16000</v>
      </c>
      <c r="D10" s="486"/>
      <c r="E10" s="489"/>
      <c r="F10" s="489"/>
      <c r="G10" s="489"/>
      <c r="H10" s="489"/>
    </row>
    <row r="11" spans="2:10" ht="19.05" customHeight="1" x14ac:dyDescent="0.3">
      <c r="B11" s="487" t="s">
        <v>28</v>
      </c>
      <c r="C11" s="487">
        <v>20000</v>
      </c>
      <c r="D11" s="486"/>
      <c r="E11" s="486"/>
      <c r="F11" s="486"/>
      <c r="G11" s="486"/>
      <c r="H11" s="486"/>
    </row>
    <row r="12" spans="2:10" ht="19.05" customHeight="1" x14ac:dyDescent="0.3">
      <c r="B12" s="487" t="s">
        <v>23</v>
      </c>
      <c r="C12" s="487">
        <v>10000</v>
      </c>
      <c r="D12" s="486"/>
      <c r="E12" s="486"/>
      <c r="F12" s="486"/>
      <c r="G12" s="486"/>
      <c r="H12" s="486"/>
    </row>
    <row r="13" spans="2:10" ht="19.05" customHeight="1" x14ac:dyDescent="0.3">
      <c r="B13" s="487" t="s">
        <v>29</v>
      </c>
      <c r="C13" s="487">
        <v>25000</v>
      </c>
      <c r="D13" s="486"/>
      <c r="E13" s="486"/>
      <c r="F13" s="486"/>
      <c r="G13" s="486"/>
      <c r="H13" s="486"/>
    </row>
    <row r="14" spans="2:10" ht="20.55" customHeight="1" x14ac:dyDescent="0.3"/>
    <row r="16" spans="2:10" ht="18" x14ac:dyDescent="0.3">
      <c r="B16" s="480" t="s">
        <v>16</v>
      </c>
      <c r="C16" s="480" t="s">
        <v>18</v>
      </c>
      <c r="D16" s="480" t="s">
        <v>19</v>
      </c>
      <c r="E16" s="480" t="s">
        <v>17</v>
      </c>
      <c r="G16" s="482" t="s">
        <v>350</v>
      </c>
      <c r="H16" s="483" t="s">
        <v>17</v>
      </c>
      <c r="I16" s="483" t="s">
        <v>19</v>
      </c>
      <c r="J16" s="484" t="s">
        <v>18</v>
      </c>
    </row>
    <row r="17" spans="2:10" ht="16.2" x14ac:dyDescent="0.3">
      <c r="B17" s="490" t="s">
        <v>25</v>
      </c>
      <c r="C17" s="493">
        <v>36528</v>
      </c>
      <c r="D17" s="493" t="s">
        <v>24</v>
      </c>
      <c r="E17" s="496">
        <v>16000</v>
      </c>
      <c r="G17" s="482" t="s">
        <v>28</v>
      </c>
      <c r="H17" s="497">
        <f>LOOKUP(G17, $B$17:$B$34, $E$17:$E$34)</f>
        <v>10000</v>
      </c>
      <c r="I17" s="497" t="str">
        <f>LOOKUP(G17, $B$17:$B$34, $D$17:$D$34)</f>
        <v>East</v>
      </c>
      <c r="J17" s="498">
        <f>LOOKUP(G17, $B$17:$C$34)</f>
        <v>36531</v>
      </c>
    </row>
    <row r="18" spans="2:10" ht="16.2" x14ac:dyDescent="0.3">
      <c r="B18" s="490" t="s">
        <v>25</v>
      </c>
      <c r="C18" s="493">
        <v>36526</v>
      </c>
      <c r="D18" s="493" t="s">
        <v>24</v>
      </c>
      <c r="E18" s="496">
        <v>14000</v>
      </c>
      <c r="G18" s="482" t="s">
        <v>21</v>
      </c>
      <c r="H18" s="497">
        <f t="shared" ref="H18:H23" si="0">LOOKUP(G18, $B$17:$B$34, $E$17:$E$34)</f>
        <v>20000</v>
      </c>
      <c r="I18" s="497" t="str">
        <f t="shared" ref="I18:I23" si="1">LOOKUP(G18, $B$17:$B$34, $D$17:$D$34)</f>
        <v>South</v>
      </c>
      <c r="J18" s="498">
        <f t="shared" ref="J18:J23" si="2">LOOKUP(G18, $B$17:$C$34)</f>
        <v>36538</v>
      </c>
    </row>
    <row r="19" spans="2:10" ht="16.2" x14ac:dyDescent="0.3">
      <c r="B19" s="490" t="s">
        <v>26</v>
      </c>
      <c r="C19" s="493">
        <v>36533</v>
      </c>
      <c r="D19" s="493" t="s">
        <v>20</v>
      </c>
      <c r="E19" s="496">
        <v>2000</v>
      </c>
      <c r="G19" s="482" t="s">
        <v>26</v>
      </c>
      <c r="H19" s="497">
        <f t="shared" si="0"/>
        <v>4000</v>
      </c>
      <c r="I19" s="497" t="str">
        <f t="shared" si="1"/>
        <v>East</v>
      </c>
      <c r="J19" s="498">
        <f t="shared" si="2"/>
        <v>36531</v>
      </c>
    </row>
    <row r="20" spans="2:10" ht="16.2" x14ac:dyDescent="0.3">
      <c r="B20" s="490" t="s">
        <v>26</v>
      </c>
      <c r="C20" s="493">
        <v>36537</v>
      </c>
      <c r="D20" s="493" t="s">
        <v>33</v>
      </c>
      <c r="E20" s="496">
        <v>50000</v>
      </c>
      <c r="G20" s="482" t="s">
        <v>32</v>
      </c>
      <c r="H20" s="497">
        <f t="shared" si="0"/>
        <v>42000</v>
      </c>
      <c r="I20" s="497" t="str">
        <f t="shared" si="1"/>
        <v>West</v>
      </c>
      <c r="J20" s="498">
        <f t="shared" si="2"/>
        <v>36529</v>
      </c>
    </row>
    <row r="21" spans="2:10" ht="16.2" x14ac:dyDescent="0.3">
      <c r="B21" s="490" t="s">
        <v>26</v>
      </c>
      <c r="C21" s="493">
        <v>36531</v>
      </c>
      <c r="D21" s="493" t="s">
        <v>20</v>
      </c>
      <c r="E21" s="496">
        <v>4000</v>
      </c>
      <c r="G21" s="482" t="s">
        <v>539</v>
      </c>
      <c r="H21" s="497">
        <f t="shared" si="0"/>
        <v>14000</v>
      </c>
      <c r="I21" s="497" t="str">
        <f t="shared" si="1"/>
        <v>North</v>
      </c>
      <c r="J21" s="498">
        <f t="shared" si="2"/>
        <v>36526</v>
      </c>
    </row>
    <row r="22" spans="2:10" ht="16.2" x14ac:dyDescent="0.3">
      <c r="B22" s="490" t="s">
        <v>27</v>
      </c>
      <c r="C22" s="493">
        <v>36544</v>
      </c>
      <c r="D22" s="490" t="s">
        <v>24</v>
      </c>
      <c r="E22" s="496">
        <v>18000</v>
      </c>
      <c r="G22" s="482" t="s">
        <v>23</v>
      </c>
      <c r="H22" s="497">
        <f t="shared" si="0"/>
        <v>25000</v>
      </c>
      <c r="I22" s="497" t="str">
        <f t="shared" si="1"/>
        <v>North</v>
      </c>
      <c r="J22" s="498">
        <f t="shared" si="2"/>
        <v>36535</v>
      </c>
    </row>
    <row r="23" spans="2:10" ht="16.2" x14ac:dyDescent="0.3">
      <c r="B23" s="490" t="s">
        <v>27</v>
      </c>
      <c r="C23" s="493">
        <v>36538</v>
      </c>
      <c r="D23" s="493" t="s">
        <v>30</v>
      </c>
      <c r="E23" s="496">
        <v>30000</v>
      </c>
      <c r="G23" s="482" t="s">
        <v>31</v>
      </c>
      <c r="H23" s="497">
        <f t="shared" si="0"/>
        <v>6000</v>
      </c>
      <c r="I23" s="497" t="str">
        <f t="shared" si="1"/>
        <v>East</v>
      </c>
      <c r="J23" s="498">
        <f t="shared" si="2"/>
        <v>36542</v>
      </c>
    </row>
    <row r="24" spans="2:10" x14ac:dyDescent="0.3">
      <c r="B24" s="490" t="s">
        <v>31</v>
      </c>
      <c r="C24" s="493">
        <v>36532</v>
      </c>
      <c r="D24" s="493" t="s">
        <v>33</v>
      </c>
      <c r="E24" s="496">
        <v>38000</v>
      </c>
    </row>
    <row r="25" spans="2:10" x14ac:dyDescent="0.3">
      <c r="B25" s="490" t="s">
        <v>31</v>
      </c>
      <c r="C25" s="493">
        <v>36542</v>
      </c>
      <c r="D25" s="493" t="s">
        <v>20</v>
      </c>
      <c r="E25" s="496">
        <v>6000</v>
      </c>
    </row>
    <row r="26" spans="2:10" x14ac:dyDescent="0.3">
      <c r="B26" s="490" t="s">
        <v>21</v>
      </c>
      <c r="C26" s="493">
        <v>36538</v>
      </c>
      <c r="D26" s="493" t="s">
        <v>30</v>
      </c>
      <c r="E26" s="496">
        <v>20000</v>
      </c>
    </row>
    <row r="27" spans="2:10" x14ac:dyDescent="0.3">
      <c r="B27" s="490" t="s">
        <v>32</v>
      </c>
      <c r="C27" s="493">
        <v>36529</v>
      </c>
      <c r="D27" s="493" t="s">
        <v>33</v>
      </c>
      <c r="E27" s="496">
        <v>42000</v>
      </c>
    </row>
    <row r="28" spans="2:10" x14ac:dyDescent="0.3">
      <c r="B28" s="490" t="s">
        <v>22</v>
      </c>
      <c r="C28" s="493">
        <v>36535</v>
      </c>
      <c r="D28" s="493" t="s">
        <v>20</v>
      </c>
      <c r="E28" s="496">
        <v>8000</v>
      </c>
    </row>
    <row r="29" spans="2:10" x14ac:dyDescent="0.3">
      <c r="B29" s="490" t="s">
        <v>22</v>
      </c>
      <c r="C29" s="493">
        <v>36547</v>
      </c>
      <c r="D29" s="490" t="s">
        <v>33</v>
      </c>
      <c r="E29" s="496">
        <v>40000</v>
      </c>
    </row>
    <row r="30" spans="2:10" x14ac:dyDescent="0.3">
      <c r="B30" s="490" t="s">
        <v>22</v>
      </c>
      <c r="C30" s="493">
        <v>36545</v>
      </c>
      <c r="D30" s="490" t="s">
        <v>24</v>
      </c>
      <c r="E30" s="496">
        <v>20000</v>
      </c>
    </row>
    <row r="31" spans="2:10" x14ac:dyDescent="0.3">
      <c r="B31" s="490" t="s">
        <v>28</v>
      </c>
      <c r="C31" s="493">
        <v>36540</v>
      </c>
      <c r="D31" s="493" t="s">
        <v>30</v>
      </c>
      <c r="E31" s="496">
        <v>28000</v>
      </c>
    </row>
    <row r="32" spans="2:10" x14ac:dyDescent="0.3">
      <c r="B32" s="491" t="s">
        <v>28</v>
      </c>
      <c r="C32" s="494">
        <v>36531</v>
      </c>
      <c r="D32" s="494" t="s">
        <v>20</v>
      </c>
      <c r="E32" s="496">
        <v>10000</v>
      </c>
    </row>
    <row r="33" spans="2:5" x14ac:dyDescent="0.3">
      <c r="B33" s="492" t="s">
        <v>23</v>
      </c>
      <c r="C33" s="495">
        <v>36535</v>
      </c>
      <c r="D33" s="495" t="s">
        <v>24</v>
      </c>
      <c r="E33" s="496">
        <v>25000</v>
      </c>
    </row>
    <row r="34" spans="2:5" x14ac:dyDescent="0.3">
      <c r="B34" s="490" t="s">
        <v>29</v>
      </c>
      <c r="C34" s="493">
        <v>36536</v>
      </c>
      <c r="D34" s="493" t="s">
        <v>33</v>
      </c>
      <c r="E34" s="496">
        <v>36000</v>
      </c>
    </row>
    <row r="36" spans="2:5" ht="16.2" x14ac:dyDescent="0.3">
      <c r="B36" s="499"/>
      <c r="C36" s="499"/>
      <c r="D36" s="499"/>
      <c r="E36" s="499"/>
    </row>
    <row r="37" spans="2:5" x14ac:dyDescent="0.3">
      <c r="B37" s="486"/>
      <c r="C37" s="500"/>
      <c r="D37" s="500"/>
      <c r="E37" s="501"/>
    </row>
    <row r="38" spans="2:5" x14ac:dyDescent="0.3">
      <c r="B38" s="486"/>
      <c r="C38" s="500"/>
      <c r="D38" s="500"/>
      <c r="E38" s="501"/>
    </row>
    <row r="39" spans="2:5" x14ac:dyDescent="0.3">
      <c r="B39" s="486"/>
      <c r="C39" s="500"/>
      <c r="D39" s="500"/>
      <c r="E39" s="501"/>
    </row>
    <row r="40" spans="2:5" x14ac:dyDescent="0.3">
      <c r="B40" s="486"/>
      <c r="C40" s="500"/>
      <c r="D40" s="500"/>
      <c r="E40" s="501"/>
    </row>
    <row r="41" spans="2:5" x14ac:dyDescent="0.3">
      <c r="B41" s="486"/>
      <c r="C41" s="500"/>
      <c r="D41" s="500"/>
      <c r="E41" s="501"/>
    </row>
    <row r="42" spans="2:5" x14ac:dyDescent="0.3">
      <c r="B42" s="486"/>
      <c r="C42" s="500"/>
      <c r="D42" s="500"/>
      <c r="E42" s="501"/>
    </row>
    <row r="43" spans="2:5" x14ac:dyDescent="0.3">
      <c r="B43" s="486"/>
      <c r="C43" s="500"/>
      <c r="D43" s="486"/>
      <c r="E43" s="501"/>
    </row>
    <row r="44" spans="2:5" x14ac:dyDescent="0.3">
      <c r="B44" s="486"/>
      <c r="C44" s="500"/>
      <c r="D44" s="500"/>
      <c r="E44" s="501"/>
    </row>
    <row r="45" spans="2:5" x14ac:dyDescent="0.3">
      <c r="B45" s="486"/>
      <c r="C45" s="500"/>
      <c r="D45" s="500"/>
      <c r="E45" s="501"/>
    </row>
    <row r="46" spans="2:5" x14ac:dyDescent="0.3">
      <c r="B46" s="486"/>
      <c r="C46" s="500"/>
      <c r="D46" s="500"/>
      <c r="E46" s="501"/>
    </row>
    <row r="47" spans="2:5" x14ac:dyDescent="0.3">
      <c r="B47" s="486"/>
      <c r="C47" s="500"/>
      <c r="D47" s="500"/>
      <c r="E47" s="501"/>
    </row>
    <row r="48" spans="2:5" x14ac:dyDescent="0.3">
      <c r="B48" s="486"/>
      <c r="C48" s="500"/>
      <c r="D48" s="500"/>
      <c r="E48" s="501"/>
    </row>
    <row r="49" spans="2:5" x14ac:dyDescent="0.3">
      <c r="B49" s="486"/>
      <c r="C49" s="500"/>
      <c r="D49" s="500"/>
      <c r="E49" s="501"/>
    </row>
    <row r="50" spans="2:5" x14ac:dyDescent="0.3">
      <c r="B50" s="486"/>
      <c r="C50" s="500"/>
      <c r="D50" s="486"/>
      <c r="E50" s="501"/>
    </row>
    <row r="51" spans="2:5" x14ac:dyDescent="0.3">
      <c r="B51" s="486"/>
      <c r="C51" s="500"/>
      <c r="D51" s="486"/>
      <c r="E51" s="501"/>
    </row>
    <row r="52" spans="2:5" x14ac:dyDescent="0.3">
      <c r="B52" s="486"/>
      <c r="C52" s="500"/>
      <c r="D52" s="500"/>
      <c r="E52" s="501"/>
    </row>
    <row r="53" spans="2:5" x14ac:dyDescent="0.3">
      <c r="B53" s="486"/>
      <c r="C53" s="500"/>
      <c r="D53" s="500"/>
      <c r="E53" s="501"/>
    </row>
    <row r="54" spans="2:5" x14ac:dyDescent="0.3">
      <c r="B54" s="486"/>
      <c r="C54" s="500"/>
      <c r="D54" s="500"/>
      <c r="E54" s="501"/>
    </row>
  </sheetData>
  <sortState xmlns:xlrd2="http://schemas.microsoft.com/office/spreadsheetml/2017/richdata2" ref="B17:B34">
    <sortCondition ref="B17:B34"/>
  </sortState>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E9C4C-1C29-49CA-A699-C17A63CE13AD}">
  <dimension ref="A2:S78"/>
  <sheetViews>
    <sheetView topLeftCell="A37" zoomScale="107" workbookViewId="0">
      <selection activeCell="G55" sqref="G55"/>
    </sheetView>
  </sheetViews>
  <sheetFormatPr defaultColWidth="16.77734375" defaultRowHeight="15" x14ac:dyDescent="0.3"/>
  <cols>
    <col min="1" max="1" width="10.44140625" style="507" customWidth="1"/>
    <col min="2" max="2" width="19.21875" style="507" customWidth="1"/>
    <col min="3" max="3" width="16.88671875" style="507" customWidth="1"/>
    <col min="4" max="4" width="19.44140625" style="507" bestFit="1" customWidth="1"/>
    <col min="5" max="5" width="13.77734375" style="507" customWidth="1"/>
    <col min="6" max="6" width="14.77734375" style="507" customWidth="1"/>
    <col min="7" max="7" width="16.21875" style="507" customWidth="1"/>
    <col min="8" max="8" width="12.77734375" style="507" customWidth="1"/>
    <col min="9" max="9" width="11.5546875" style="507" bestFit="1" customWidth="1"/>
    <col min="10" max="10" width="12.21875" style="507" customWidth="1"/>
    <col min="11" max="11" width="11.5546875" style="507" customWidth="1"/>
    <col min="12" max="12" width="13.21875" style="507" customWidth="1"/>
    <col min="13" max="13" width="13.33203125" style="507" customWidth="1"/>
    <col min="14" max="14" width="13.5546875" style="507" customWidth="1"/>
    <col min="15" max="15" width="12.44140625" style="507" customWidth="1"/>
    <col min="16" max="16" width="13" style="507" customWidth="1"/>
    <col min="17" max="17" width="14.33203125" style="507" customWidth="1"/>
    <col min="18" max="18" width="14.5546875" style="507" customWidth="1"/>
    <col min="19" max="19" width="14.21875" style="507" customWidth="1"/>
    <col min="20" max="20" width="12.77734375" style="507" customWidth="1"/>
    <col min="21" max="21" width="13" style="507" customWidth="1"/>
    <col min="22" max="16384" width="16.77734375" style="507"/>
  </cols>
  <sheetData>
    <row r="2" spans="2:10" ht="19.5" customHeight="1" x14ac:dyDescent="0.3">
      <c r="B2" s="506" t="s">
        <v>18</v>
      </c>
      <c r="C2" s="506" t="s">
        <v>19</v>
      </c>
      <c r="D2" s="506" t="s">
        <v>16</v>
      </c>
      <c r="E2" s="506" t="s">
        <v>17</v>
      </c>
    </row>
    <row r="3" spans="2:10" x14ac:dyDescent="0.3">
      <c r="B3" s="186">
        <v>36533</v>
      </c>
      <c r="C3" s="186" t="s">
        <v>20</v>
      </c>
      <c r="D3" s="502" t="s">
        <v>25</v>
      </c>
      <c r="E3" s="503">
        <v>2000</v>
      </c>
    </row>
    <row r="4" spans="2:10" ht="15.6" x14ac:dyDescent="0.3">
      <c r="B4" s="186">
        <v>36540</v>
      </c>
      <c r="C4" s="186" t="s">
        <v>30</v>
      </c>
      <c r="D4" s="502" t="s">
        <v>25</v>
      </c>
      <c r="E4" s="503">
        <v>28000</v>
      </c>
      <c r="G4" s="508" t="s">
        <v>350</v>
      </c>
      <c r="H4" s="508" t="s">
        <v>19</v>
      </c>
      <c r="I4" s="508" t="s">
        <v>17</v>
      </c>
      <c r="J4" s="508" t="s">
        <v>17</v>
      </c>
    </row>
    <row r="5" spans="2:10" x14ac:dyDescent="0.3">
      <c r="B5" s="186">
        <v>36526</v>
      </c>
      <c r="C5" s="186" t="s">
        <v>24</v>
      </c>
      <c r="D5" s="502" t="s">
        <v>26</v>
      </c>
      <c r="E5" s="503">
        <v>14000</v>
      </c>
      <c r="G5" s="509" t="s">
        <v>25</v>
      </c>
      <c r="H5" s="509" t="str">
        <f>_xlfn.XLOOKUP(G5,$D$3:$D$18,$C$3:$C$18,)</f>
        <v>East</v>
      </c>
      <c r="I5" s="509">
        <f>_xlfn.XLOOKUP(G5,D3:D18,E3:E18)</f>
        <v>2000</v>
      </c>
      <c r="J5" s="509">
        <f>_xlfn.XLOOKUP(G5,$D$3:$D$18,$E$3:$E$18,,,-1)</f>
        <v>28000</v>
      </c>
    </row>
    <row r="6" spans="2:10" x14ac:dyDescent="0.3">
      <c r="B6" s="186">
        <v>36536</v>
      </c>
      <c r="C6" s="186" t="s">
        <v>33</v>
      </c>
      <c r="D6" s="502" t="s">
        <v>26</v>
      </c>
      <c r="E6" s="503">
        <v>36000</v>
      </c>
      <c r="G6" s="509" t="s">
        <v>25</v>
      </c>
      <c r="H6" s="509" t="str">
        <f>_xlfn.XLOOKUP(G6,D3:D18,C3:C18, ,,-1)</f>
        <v>South</v>
      </c>
      <c r="I6" s="509">
        <f>_xlfn.XLOOKUP(G6,$D$4:$D$19,$E$4:$E$19)</f>
        <v>28000</v>
      </c>
      <c r="J6" s="509">
        <f t="shared" ref="J6:J9" si="0">_xlfn.XLOOKUP(G6,$D$3:$D$18,$E$3:$E$18,,,-1)</f>
        <v>28000</v>
      </c>
    </row>
    <row r="7" spans="2:10" x14ac:dyDescent="0.3">
      <c r="B7" s="186">
        <v>36528</v>
      </c>
      <c r="C7" s="186" t="s">
        <v>24</v>
      </c>
      <c r="D7" s="502" t="s">
        <v>27</v>
      </c>
      <c r="E7" s="503">
        <v>16000</v>
      </c>
      <c r="G7" s="509" t="s">
        <v>31</v>
      </c>
      <c r="H7" s="509" t="str">
        <f t="shared" ref="H6:H9" si="1">_xlfn.XLOOKUP(G7,$D$3:$D$18,$C$3:$C$18,)</f>
        <v>South</v>
      </c>
      <c r="I7" s="509">
        <f t="shared" ref="I7:I9" si="2">_xlfn.XLOOKUP(G7,$D$4:$D$19,$E$4:$E$19)</f>
        <v>30000</v>
      </c>
      <c r="J7" s="509">
        <f t="shared" si="0"/>
        <v>38000</v>
      </c>
    </row>
    <row r="8" spans="2:10" x14ac:dyDescent="0.3">
      <c r="B8" s="186">
        <v>36544</v>
      </c>
      <c r="C8" s="502" t="s">
        <v>24</v>
      </c>
      <c r="D8" s="502" t="s">
        <v>27</v>
      </c>
      <c r="E8" s="503">
        <v>18000</v>
      </c>
      <c r="G8" s="509" t="s">
        <v>32</v>
      </c>
      <c r="H8" s="509" t="str">
        <f t="shared" si="1"/>
        <v>South</v>
      </c>
      <c r="I8" s="509">
        <f t="shared" si="2"/>
        <v>20000</v>
      </c>
      <c r="J8" s="509">
        <f t="shared" si="0"/>
        <v>20000</v>
      </c>
    </row>
    <row r="9" spans="2:10" x14ac:dyDescent="0.3">
      <c r="B9" s="186">
        <v>36538</v>
      </c>
      <c r="C9" s="186" t="s">
        <v>30</v>
      </c>
      <c r="D9" s="502" t="s">
        <v>31</v>
      </c>
      <c r="E9" s="503">
        <v>30000</v>
      </c>
      <c r="G9" s="509" t="s">
        <v>23</v>
      </c>
      <c r="H9" s="509" t="str">
        <f t="shared" si="1"/>
        <v>East</v>
      </c>
      <c r="I9" s="509">
        <f t="shared" si="2"/>
        <v>10000</v>
      </c>
      <c r="J9" s="509">
        <f t="shared" si="0"/>
        <v>10000</v>
      </c>
    </row>
    <row r="10" spans="2:10" x14ac:dyDescent="0.3">
      <c r="B10" s="186">
        <v>36532</v>
      </c>
      <c r="C10" s="186" t="s">
        <v>33</v>
      </c>
      <c r="D10" s="502" t="s">
        <v>31</v>
      </c>
      <c r="E10" s="503">
        <v>38000</v>
      </c>
    </row>
    <row r="11" spans="2:10" x14ac:dyDescent="0.3">
      <c r="B11" s="186">
        <v>36531</v>
      </c>
      <c r="C11" s="186" t="s">
        <v>20</v>
      </c>
      <c r="D11" s="502" t="s">
        <v>21</v>
      </c>
      <c r="E11" s="503">
        <v>4000</v>
      </c>
    </row>
    <row r="12" spans="2:10" x14ac:dyDescent="0.3">
      <c r="B12" s="186">
        <v>36538</v>
      </c>
      <c r="C12" s="186" t="s">
        <v>30</v>
      </c>
      <c r="D12" s="502" t="s">
        <v>32</v>
      </c>
      <c r="E12" s="503">
        <v>20000</v>
      </c>
    </row>
    <row r="13" spans="2:10" x14ac:dyDescent="0.3">
      <c r="B13" s="186">
        <v>36542</v>
      </c>
      <c r="C13" s="186" t="s">
        <v>20</v>
      </c>
      <c r="D13" s="502" t="s">
        <v>22</v>
      </c>
      <c r="E13" s="503">
        <v>6000</v>
      </c>
    </row>
    <row r="14" spans="2:10" x14ac:dyDescent="0.3">
      <c r="B14" s="186">
        <v>36535</v>
      </c>
      <c r="C14" s="186" t="s">
        <v>20</v>
      </c>
      <c r="D14" s="502" t="s">
        <v>22</v>
      </c>
      <c r="E14" s="503">
        <v>8000</v>
      </c>
    </row>
    <row r="15" spans="2:10" x14ac:dyDescent="0.3">
      <c r="B15" s="186">
        <v>36545</v>
      </c>
      <c r="C15" s="502" t="s">
        <v>24</v>
      </c>
      <c r="D15" s="502" t="s">
        <v>28</v>
      </c>
      <c r="E15" s="503">
        <v>20000</v>
      </c>
    </row>
    <row r="16" spans="2:10" x14ac:dyDescent="0.3">
      <c r="B16" s="186">
        <v>36529</v>
      </c>
      <c r="C16" s="186" t="s">
        <v>33</v>
      </c>
      <c r="D16" s="502" t="s">
        <v>28</v>
      </c>
      <c r="E16" s="503">
        <v>42000</v>
      </c>
    </row>
    <row r="17" spans="1:19" x14ac:dyDescent="0.3">
      <c r="B17" s="187">
        <v>36531</v>
      </c>
      <c r="C17" s="187" t="s">
        <v>20</v>
      </c>
      <c r="D17" s="504" t="s">
        <v>23</v>
      </c>
      <c r="E17" s="503">
        <v>10000</v>
      </c>
    </row>
    <row r="18" spans="1:19" x14ac:dyDescent="0.3">
      <c r="B18" s="188">
        <v>36535</v>
      </c>
      <c r="C18" s="188" t="s">
        <v>24</v>
      </c>
      <c r="D18" s="505" t="s">
        <v>29</v>
      </c>
      <c r="E18" s="503">
        <v>25000</v>
      </c>
    </row>
    <row r="21" spans="1:19" ht="17.55" customHeight="1" x14ac:dyDescent="0.3">
      <c r="A21" s="506" t="s">
        <v>16</v>
      </c>
      <c r="B21" s="502" t="s">
        <v>25</v>
      </c>
      <c r="C21" s="502" t="s">
        <v>25</v>
      </c>
      <c r="D21" s="502" t="s">
        <v>26</v>
      </c>
      <c r="E21" s="502" t="s">
        <v>26</v>
      </c>
      <c r="F21" s="502" t="s">
        <v>26</v>
      </c>
      <c r="G21" s="502" t="s">
        <v>27</v>
      </c>
      <c r="H21" s="502" t="s">
        <v>27</v>
      </c>
      <c r="I21" s="502" t="s">
        <v>31</v>
      </c>
      <c r="J21" s="502" t="s">
        <v>31</v>
      </c>
      <c r="K21" s="502" t="s">
        <v>21</v>
      </c>
      <c r="L21" s="502" t="s">
        <v>32</v>
      </c>
      <c r="M21" s="502" t="s">
        <v>22</v>
      </c>
      <c r="N21" s="502" t="s">
        <v>22</v>
      </c>
      <c r="O21" s="502" t="s">
        <v>22</v>
      </c>
      <c r="P21" s="502" t="s">
        <v>28</v>
      </c>
      <c r="Q21" s="502" t="s">
        <v>28</v>
      </c>
      <c r="R21" s="504" t="s">
        <v>23</v>
      </c>
      <c r="S21" s="505" t="s">
        <v>29</v>
      </c>
    </row>
    <row r="22" spans="1:19" ht="17.55" customHeight="1" x14ac:dyDescent="0.3">
      <c r="A22" s="506" t="s">
        <v>18</v>
      </c>
      <c r="B22" s="186">
        <v>36533</v>
      </c>
      <c r="C22" s="186">
        <v>36540</v>
      </c>
      <c r="D22" s="186">
        <v>36526</v>
      </c>
      <c r="E22" s="186">
        <v>36536</v>
      </c>
      <c r="F22" s="186">
        <v>36537</v>
      </c>
      <c r="G22" s="186">
        <v>36528</v>
      </c>
      <c r="H22" s="186">
        <v>36544</v>
      </c>
      <c r="I22" s="186">
        <v>36538</v>
      </c>
      <c r="J22" s="186">
        <v>36532</v>
      </c>
      <c r="K22" s="186">
        <v>36531</v>
      </c>
      <c r="L22" s="186">
        <v>36538</v>
      </c>
      <c r="M22" s="186">
        <v>36542</v>
      </c>
      <c r="N22" s="186">
        <v>36535</v>
      </c>
      <c r="O22" s="186">
        <v>36547</v>
      </c>
      <c r="P22" s="186">
        <v>36545</v>
      </c>
      <c r="Q22" s="186">
        <v>36529</v>
      </c>
      <c r="R22" s="187">
        <v>36531</v>
      </c>
      <c r="S22" s="188">
        <v>36535</v>
      </c>
    </row>
    <row r="23" spans="1:19" ht="17.55" customHeight="1" x14ac:dyDescent="0.3">
      <c r="A23" s="506" t="s">
        <v>19</v>
      </c>
      <c r="B23" s="186" t="s">
        <v>20</v>
      </c>
      <c r="C23" s="186" t="s">
        <v>30</v>
      </c>
      <c r="D23" s="186" t="s">
        <v>24</v>
      </c>
      <c r="E23" s="186" t="s">
        <v>33</v>
      </c>
      <c r="F23" s="186" t="s">
        <v>33</v>
      </c>
      <c r="G23" s="186" t="s">
        <v>24</v>
      </c>
      <c r="H23" s="502" t="s">
        <v>24</v>
      </c>
      <c r="I23" s="186" t="s">
        <v>30</v>
      </c>
      <c r="J23" s="186" t="s">
        <v>33</v>
      </c>
      <c r="K23" s="186" t="s">
        <v>20</v>
      </c>
      <c r="L23" s="186" t="s">
        <v>30</v>
      </c>
      <c r="M23" s="186" t="s">
        <v>20</v>
      </c>
      <c r="N23" s="186" t="s">
        <v>20</v>
      </c>
      <c r="O23" s="502" t="s">
        <v>33</v>
      </c>
      <c r="P23" s="502" t="s">
        <v>24</v>
      </c>
      <c r="Q23" s="186" t="s">
        <v>33</v>
      </c>
      <c r="R23" s="187" t="s">
        <v>20</v>
      </c>
      <c r="S23" s="188" t="s">
        <v>24</v>
      </c>
    </row>
    <row r="24" spans="1:19" ht="17.55" customHeight="1" x14ac:dyDescent="0.3">
      <c r="A24" s="506" t="s">
        <v>17</v>
      </c>
      <c r="B24" s="503">
        <v>2000</v>
      </c>
      <c r="C24" s="503">
        <v>28000</v>
      </c>
      <c r="D24" s="503">
        <v>14000</v>
      </c>
      <c r="E24" s="503">
        <v>36000</v>
      </c>
      <c r="F24" s="503">
        <v>50000</v>
      </c>
      <c r="G24" s="503">
        <v>16000</v>
      </c>
      <c r="H24" s="503">
        <v>18000</v>
      </c>
      <c r="I24" s="503">
        <v>30000</v>
      </c>
      <c r="J24" s="503">
        <v>38000</v>
      </c>
      <c r="K24" s="503">
        <v>4000</v>
      </c>
      <c r="L24" s="503">
        <v>20000</v>
      </c>
      <c r="M24" s="503">
        <v>6000</v>
      </c>
      <c r="N24" s="503">
        <v>8000</v>
      </c>
      <c r="O24" s="503">
        <v>40000</v>
      </c>
      <c r="P24" s="503">
        <v>20000</v>
      </c>
      <c r="Q24" s="503">
        <v>42000</v>
      </c>
      <c r="R24" s="503">
        <v>10000</v>
      </c>
      <c r="S24" s="503">
        <v>25000</v>
      </c>
    </row>
    <row r="27" spans="1:19" ht="15.6" x14ac:dyDescent="0.3">
      <c r="B27" s="508" t="s">
        <v>350</v>
      </c>
      <c r="C27" s="508" t="s">
        <v>19</v>
      </c>
      <c r="D27" s="508" t="s">
        <v>17</v>
      </c>
    </row>
    <row r="28" spans="1:19" x14ac:dyDescent="0.3">
      <c r="B28" s="509" t="s">
        <v>25</v>
      </c>
      <c r="C28" s="509" t="str">
        <f>_xlfn.XLOOKUP(B28,$B$21:$S$21,$B$23:$S$23)</f>
        <v>East</v>
      </c>
      <c r="D28" s="509">
        <f>_xlfn.XLOOKUP(B28,$B$21:$S$21,$B$24:$S$24,"Not there in your data",,1)</f>
        <v>2000</v>
      </c>
    </row>
    <row r="29" spans="1:19" x14ac:dyDescent="0.3">
      <c r="B29" s="509" t="s">
        <v>31</v>
      </c>
      <c r="C29" s="509" t="str">
        <f t="shared" ref="C29:C32" si="3">_xlfn.XLOOKUP(B29,$B$21:$S$21,$B$23:$S$23)</f>
        <v>South</v>
      </c>
      <c r="D29" s="509">
        <f t="shared" ref="D29:D32" si="4">_xlfn.XLOOKUP(B29,$B$21:$S$21,$B$24:$S$24,"Not there in your data",,1)</f>
        <v>30000</v>
      </c>
    </row>
    <row r="30" spans="1:19" x14ac:dyDescent="0.3">
      <c r="B30" s="509" t="s">
        <v>32</v>
      </c>
      <c r="C30" s="509" t="str">
        <f t="shared" si="3"/>
        <v>South</v>
      </c>
      <c r="D30" s="509">
        <f t="shared" si="4"/>
        <v>20000</v>
      </c>
    </row>
    <row r="31" spans="1:19" x14ac:dyDescent="0.3">
      <c r="B31" s="509" t="s">
        <v>23</v>
      </c>
      <c r="C31" s="509" t="str">
        <f t="shared" si="3"/>
        <v>East</v>
      </c>
      <c r="D31" s="509">
        <f t="shared" si="4"/>
        <v>10000</v>
      </c>
    </row>
    <row r="32" spans="1:19" x14ac:dyDescent="0.3">
      <c r="B32" s="507" t="s">
        <v>540</v>
      </c>
      <c r="C32" s="507" t="e">
        <f t="shared" si="3"/>
        <v>#N/A</v>
      </c>
      <c r="D32" s="507" t="str">
        <f t="shared" si="4"/>
        <v>Not there in your data</v>
      </c>
    </row>
    <row r="42" spans="2:10" ht="15.6" x14ac:dyDescent="0.3">
      <c r="B42" s="185" t="s">
        <v>16</v>
      </c>
      <c r="C42" s="185" t="s">
        <v>18</v>
      </c>
      <c r="D42" s="185" t="s">
        <v>19</v>
      </c>
      <c r="E42" s="185" t="s">
        <v>17</v>
      </c>
    </row>
    <row r="43" spans="2:10" x14ac:dyDescent="0.3">
      <c r="B43" s="502" t="s">
        <v>25</v>
      </c>
      <c r="C43" s="186">
        <v>36533</v>
      </c>
      <c r="D43" s="186" t="s">
        <v>20</v>
      </c>
      <c r="E43" s="503">
        <v>2000</v>
      </c>
    </row>
    <row r="44" spans="2:10" x14ac:dyDescent="0.3">
      <c r="B44" s="502" t="s">
        <v>25</v>
      </c>
      <c r="C44" s="186">
        <v>36540</v>
      </c>
      <c r="D44" s="186" t="s">
        <v>30</v>
      </c>
      <c r="E44" s="503">
        <v>28000</v>
      </c>
    </row>
    <row r="45" spans="2:10" x14ac:dyDescent="0.3">
      <c r="B45" s="502" t="s">
        <v>26</v>
      </c>
      <c r="C45" s="186">
        <v>36526</v>
      </c>
      <c r="D45" s="186" t="s">
        <v>24</v>
      </c>
      <c r="E45" s="503">
        <v>14000</v>
      </c>
    </row>
    <row r="46" spans="2:10" ht="15.6" x14ac:dyDescent="0.3">
      <c r="B46" s="502" t="s">
        <v>26</v>
      </c>
      <c r="C46" s="186">
        <v>36536</v>
      </c>
      <c r="D46" s="186" t="s">
        <v>33</v>
      </c>
      <c r="E46" s="503">
        <v>36000</v>
      </c>
      <c r="G46" s="508" t="s">
        <v>16</v>
      </c>
      <c r="H46" s="508" t="s">
        <v>18</v>
      </c>
      <c r="I46" s="508" t="s">
        <v>19</v>
      </c>
      <c r="J46" s="508" t="s">
        <v>17</v>
      </c>
    </row>
    <row r="47" spans="2:10" x14ac:dyDescent="0.3">
      <c r="B47" s="502" t="s">
        <v>393</v>
      </c>
      <c r="C47" s="186">
        <v>36528</v>
      </c>
      <c r="D47" s="186" t="s">
        <v>24</v>
      </c>
      <c r="E47" s="503">
        <v>16000</v>
      </c>
      <c r="G47" s="509" t="s">
        <v>21</v>
      </c>
      <c r="H47" s="510" cm="1">
        <f t="array" ref="H47:J47">_xlfn.XLOOKUP(G47,$B$43:$B$58,$C$43:$E$58)</f>
        <v>36531</v>
      </c>
      <c r="I47" s="509" t="str">
        <v>East</v>
      </c>
      <c r="J47" s="511">
        <v>4000</v>
      </c>
    </row>
    <row r="48" spans="2:10" x14ac:dyDescent="0.3">
      <c r="B48" s="502" t="s">
        <v>394</v>
      </c>
      <c r="C48" s="186">
        <v>36544</v>
      </c>
      <c r="D48" s="502" t="s">
        <v>20</v>
      </c>
      <c r="E48" s="503">
        <v>18000</v>
      </c>
      <c r="G48" s="509" t="s">
        <v>28</v>
      </c>
      <c r="H48" s="510" cm="1">
        <f t="array" ref="H48:J48">_xlfn.XLOOKUP(G48,$B$43:$B$58,$C$43:$E$58)</f>
        <v>36545</v>
      </c>
      <c r="I48" s="509" t="str">
        <v>North</v>
      </c>
      <c r="J48" s="511">
        <v>20000</v>
      </c>
    </row>
    <row r="49" spans="2:11" x14ac:dyDescent="0.3">
      <c r="B49" s="502" t="s">
        <v>31</v>
      </c>
      <c r="C49" s="186">
        <v>36538</v>
      </c>
      <c r="D49" s="186" t="s">
        <v>30</v>
      </c>
      <c r="E49" s="503">
        <v>30000</v>
      </c>
      <c r="G49" s="509" t="s">
        <v>27</v>
      </c>
      <c r="H49" s="510" cm="1">
        <f t="array" ref="H49:J49">_xlfn.XLOOKUP("*"&amp;G49,$B$43:$B$58,$C$43:$E$58, ,2)</f>
        <v>36528</v>
      </c>
      <c r="I49" s="509" t="str">
        <v>North</v>
      </c>
      <c r="J49" s="766">
        <v>16000</v>
      </c>
      <c r="K49" s="728" t="s">
        <v>543</v>
      </c>
    </row>
    <row r="50" spans="2:11" x14ac:dyDescent="0.3">
      <c r="B50" s="502" t="s">
        <v>31</v>
      </c>
      <c r="C50" s="186">
        <v>36532</v>
      </c>
      <c r="D50" s="186" t="s">
        <v>33</v>
      </c>
      <c r="E50" s="503">
        <v>38000</v>
      </c>
      <c r="G50" s="509" t="s">
        <v>541</v>
      </c>
      <c r="H50" s="510" cm="1">
        <f t="array" ref="H50:J50">_xlfn.XLOOKUP(G50&amp;"*",$B$43:$B$58,$C$43:$E$58, ,2)</f>
        <v>36545</v>
      </c>
      <c r="I50" s="509" t="str">
        <v>North</v>
      </c>
      <c r="J50" s="766">
        <v>20000</v>
      </c>
      <c r="K50" s="728"/>
    </row>
    <row r="51" spans="2:11" x14ac:dyDescent="0.3">
      <c r="B51" s="502" t="s">
        <v>21</v>
      </c>
      <c r="C51" s="186">
        <v>36531</v>
      </c>
      <c r="D51" s="186" t="s">
        <v>20</v>
      </c>
      <c r="E51" s="503">
        <v>4000</v>
      </c>
      <c r="G51" s="509" t="s">
        <v>541</v>
      </c>
      <c r="H51" s="510" cm="1">
        <f t="array" ref="H51:J51">_xlfn.XLOOKUP(G51&amp;"*",$B$43:$B$58,$C$43:$E$58,,2,-1 )</f>
        <v>36529</v>
      </c>
      <c r="I51" s="509" t="str">
        <v>West</v>
      </c>
      <c r="J51" s="766">
        <v>42000</v>
      </c>
      <c r="K51" s="728"/>
    </row>
    <row r="52" spans="2:11" x14ac:dyDescent="0.3">
      <c r="B52" s="502" t="s">
        <v>32</v>
      </c>
      <c r="C52" s="186">
        <v>36538</v>
      </c>
      <c r="D52" s="186" t="s">
        <v>30</v>
      </c>
      <c r="E52" s="503">
        <v>20000</v>
      </c>
    </row>
    <row r="53" spans="2:11" x14ac:dyDescent="0.3">
      <c r="B53" s="502" t="s">
        <v>22</v>
      </c>
      <c r="C53" s="186">
        <v>36542</v>
      </c>
      <c r="D53" s="186" t="s">
        <v>20</v>
      </c>
      <c r="E53" s="503">
        <v>6000</v>
      </c>
    </row>
    <row r="54" spans="2:11" x14ac:dyDescent="0.3">
      <c r="B54" s="502" t="s">
        <v>22</v>
      </c>
      <c r="C54" s="186">
        <v>36535</v>
      </c>
      <c r="D54" s="186" t="s">
        <v>20</v>
      </c>
      <c r="E54" s="503">
        <v>8000</v>
      </c>
    </row>
    <row r="55" spans="2:11" x14ac:dyDescent="0.3">
      <c r="B55" s="502" t="s">
        <v>28</v>
      </c>
      <c r="C55" s="186">
        <v>36545</v>
      </c>
      <c r="D55" s="502" t="s">
        <v>24</v>
      </c>
      <c r="E55" s="503">
        <v>20000</v>
      </c>
    </row>
    <row r="56" spans="2:11" x14ac:dyDescent="0.3">
      <c r="B56" s="502" t="s">
        <v>395</v>
      </c>
      <c r="C56" s="186">
        <v>36529</v>
      </c>
      <c r="D56" s="186" t="s">
        <v>33</v>
      </c>
      <c r="E56" s="503">
        <v>42000</v>
      </c>
    </row>
    <row r="57" spans="2:11" x14ac:dyDescent="0.3">
      <c r="B57" s="504" t="s">
        <v>23</v>
      </c>
      <c r="C57" s="187">
        <v>36531</v>
      </c>
      <c r="D57" s="187" t="s">
        <v>20</v>
      </c>
      <c r="E57" s="503">
        <v>10000</v>
      </c>
    </row>
    <row r="58" spans="2:11" x14ac:dyDescent="0.3">
      <c r="B58" s="505" t="s">
        <v>29</v>
      </c>
      <c r="C58" s="188">
        <v>36535</v>
      </c>
      <c r="D58" s="188" t="s">
        <v>24</v>
      </c>
      <c r="E58" s="503">
        <v>25000</v>
      </c>
    </row>
    <row r="63" spans="2:11" ht="15.6" x14ac:dyDescent="0.3">
      <c r="C63" s="725" t="s">
        <v>388</v>
      </c>
      <c r="D63" s="726"/>
      <c r="E63" s="727"/>
      <c r="G63" s="508" t="s">
        <v>16</v>
      </c>
      <c r="H63" s="508" t="s">
        <v>389</v>
      </c>
      <c r="I63" s="508" t="s">
        <v>390</v>
      </c>
      <c r="J63" s="728" t="s">
        <v>542</v>
      </c>
    </row>
    <row r="64" spans="2:11" ht="15.6" x14ac:dyDescent="0.3">
      <c r="B64" s="185" t="s">
        <v>16</v>
      </c>
      <c r="C64" s="237">
        <v>2018</v>
      </c>
      <c r="D64" s="237">
        <v>2019</v>
      </c>
      <c r="E64" s="237">
        <v>2020</v>
      </c>
      <c r="G64" s="509" t="s">
        <v>26</v>
      </c>
      <c r="H64" s="509">
        <v>2018</v>
      </c>
      <c r="I64" s="509" cm="1">
        <f t="array" ref="I64">_xlfn.XLOOKUP(G64,B65:B78,_xlfn.XLOOKUP(H64,C64:E64,C65:E78))</f>
        <v>40000</v>
      </c>
      <c r="J64" s="728"/>
    </row>
    <row r="65" spans="2:10" x14ac:dyDescent="0.3">
      <c r="B65" s="502" t="s">
        <v>25</v>
      </c>
      <c r="C65" s="502">
        <v>36000</v>
      </c>
      <c r="D65" s="502">
        <v>20000</v>
      </c>
      <c r="E65" s="502">
        <v>28000</v>
      </c>
      <c r="G65" s="509" t="s">
        <v>22</v>
      </c>
      <c r="H65" s="509">
        <v>2020</v>
      </c>
      <c r="I65" s="509" cm="1">
        <f t="array" ref="I65">_xlfn.XLOOKUP(G65,B65:B78,_xlfn.XLOOKUP(H65,C64:E64,C65:E78))</f>
        <v>8000</v>
      </c>
      <c r="J65" s="728"/>
    </row>
    <row r="66" spans="2:10" x14ac:dyDescent="0.3">
      <c r="B66" s="502" t="s">
        <v>25</v>
      </c>
      <c r="C66" s="502">
        <v>38000</v>
      </c>
      <c r="D66" s="502">
        <v>30000</v>
      </c>
      <c r="E66" s="502">
        <v>14000</v>
      </c>
      <c r="G66" s="509" t="s">
        <v>22</v>
      </c>
      <c r="H66" s="507">
        <v>2020</v>
      </c>
      <c r="I66" s="509" cm="1">
        <f t="array" ref="I66">_xlfn.XLOOKUP(G66,B65:B78,_xlfn.XLOOKUP(H66,C64:E64,C65:E78))</f>
        <v>8000</v>
      </c>
      <c r="J66" s="728"/>
    </row>
    <row r="67" spans="2:10" x14ac:dyDescent="0.3">
      <c r="B67" s="502" t="s">
        <v>26</v>
      </c>
      <c r="C67" s="502">
        <v>40000</v>
      </c>
      <c r="D67" s="502">
        <v>10000</v>
      </c>
      <c r="E67" s="502">
        <v>36000</v>
      </c>
      <c r="G67" s="509" t="s">
        <v>23</v>
      </c>
      <c r="H67" s="509">
        <v>2019</v>
      </c>
      <c r="I67" s="509" cm="1">
        <f t="array" ref="I67">_xlfn.XLOOKUP(G67,B65:B78,_xlfn.XLOOKUP(H67,C64:E64,C65:E78))</f>
        <v>78000</v>
      </c>
      <c r="J67" s="728"/>
    </row>
    <row r="68" spans="2:10" x14ac:dyDescent="0.3">
      <c r="B68" s="502" t="s">
        <v>26</v>
      </c>
      <c r="C68" s="502">
        <v>50000</v>
      </c>
      <c r="D68" s="502">
        <v>50000</v>
      </c>
      <c r="E68" s="502">
        <v>16000</v>
      </c>
    </row>
    <row r="69" spans="2:10" x14ac:dyDescent="0.3">
      <c r="B69" s="502" t="s">
        <v>391</v>
      </c>
      <c r="C69" s="502">
        <v>20000</v>
      </c>
      <c r="D69" s="502">
        <v>60000</v>
      </c>
      <c r="E69" s="502">
        <v>18000</v>
      </c>
    </row>
    <row r="70" spans="2:10" x14ac:dyDescent="0.3">
      <c r="B70" s="502" t="s">
        <v>392</v>
      </c>
      <c r="C70" s="502">
        <v>32000</v>
      </c>
      <c r="D70" s="502">
        <v>70000</v>
      </c>
      <c r="E70" s="502">
        <v>30000</v>
      </c>
    </row>
    <row r="71" spans="2:10" x14ac:dyDescent="0.3">
      <c r="B71" s="502" t="s">
        <v>31</v>
      </c>
      <c r="C71" s="502">
        <v>89000</v>
      </c>
      <c r="D71" s="502">
        <v>80000</v>
      </c>
      <c r="E71" s="502">
        <v>38000</v>
      </c>
    </row>
    <row r="72" spans="2:10" x14ac:dyDescent="0.3">
      <c r="B72" s="502" t="s">
        <v>31</v>
      </c>
      <c r="C72" s="502">
        <v>50000</v>
      </c>
      <c r="D72" s="502">
        <v>90000</v>
      </c>
      <c r="E72" s="502">
        <v>4000</v>
      </c>
    </row>
    <row r="73" spans="2:10" x14ac:dyDescent="0.3">
      <c r="B73" s="502" t="s">
        <v>21</v>
      </c>
      <c r="C73" s="502">
        <v>2000</v>
      </c>
      <c r="D73" s="502">
        <v>10000</v>
      </c>
      <c r="E73" s="502">
        <v>20000</v>
      </c>
    </row>
    <row r="74" spans="2:10" x14ac:dyDescent="0.3">
      <c r="B74" s="502" t="s">
        <v>32</v>
      </c>
      <c r="C74" s="502">
        <v>35000</v>
      </c>
      <c r="D74" s="502">
        <v>2000</v>
      </c>
      <c r="E74" s="502">
        <v>6000</v>
      </c>
    </row>
    <row r="75" spans="2:10" x14ac:dyDescent="0.3">
      <c r="B75" s="502" t="s">
        <v>22</v>
      </c>
      <c r="C75" s="502">
        <v>23000</v>
      </c>
      <c r="D75" s="502">
        <v>57000</v>
      </c>
      <c r="E75" s="502">
        <v>8000</v>
      </c>
    </row>
    <row r="76" spans="2:10" x14ac:dyDescent="0.3">
      <c r="B76" s="502" t="s">
        <v>22</v>
      </c>
      <c r="C76" s="502">
        <v>56000</v>
      </c>
      <c r="D76" s="502">
        <v>40000</v>
      </c>
      <c r="E76" s="502">
        <v>20000</v>
      </c>
    </row>
    <row r="77" spans="2:10" x14ac:dyDescent="0.3">
      <c r="B77" s="502" t="s">
        <v>28</v>
      </c>
      <c r="C77" s="502">
        <v>4000</v>
      </c>
      <c r="D77" s="502">
        <v>32000</v>
      </c>
      <c r="E77" s="502">
        <v>42000</v>
      </c>
    </row>
    <row r="78" spans="2:10" x14ac:dyDescent="0.3">
      <c r="B78" s="502" t="s">
        <v>23</v>
      </c>
      <c r="C78" s="502">
        <v>36535</v>
      </c>
      <c r="D78" s="502">
        <v>78000</v>
      </c>
      <c r="E78" s="502">
        <v>25000</v>
      </c>
    </row>
  </sheetData>
  <mergeCells count="3">
    <mergeCell ref="C63:E63"/>
    <mergeCell ref="J63:J67"/>
    <mergeCell ref="K49:K5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C8760-3878-4087-B068-0A1A40CA8C01}">
  <dimension ref="A3:C10"/>
  <sheetViews>
    <sheetView tabSelected="1" workbookViewId="0">
      <selection activeCell="F12" sqref="F12"/>
    </sheetView>
  </sheetViews>
  <sheetFormatPr defaultRowHeight="14.4" x14ac:dyDescent="0.3"/>
  <cols>
    <col min="1" max="1" width="12.5546875" bestFit="1" customWidth="1"/>
    <col min="2" max="2" width="11.6640625" bestFit="1" customWidth="1"/>
    <col min="3" max="3" width="14.88671875" bestFit="1" customWidth="1"/>
  </cols>
  <sheetData>
    <row r="3" spans="1:3" x14ac:dyDescent="0.3">
      <c r="A3" s="279" t="s">
        <v>444</v>
      </c>
      <c r="B3" t="s">
        <v>695</v>
      </c>
      <c r="C3" t="s">
        <v>697</v>
      </c>
    </row>
    <row r="4" spans="1:3" x14ac:dyDescent="0.3">
      <c r="A4" s="280" t="s">
        <v>448</v>
      </c>
      <c r="B4" s="773">
        <v>1281</v>
      </c>
      <c r="C4" s="773">
        <v>262</v>
      </c>
    </row>
    <row r="5" spans="1:3" x14ac:dyDescent="0.3">
      <c r="A5" s="280" t="s">
        <v>366</v>
      </c>
      <c r="B5" s="773">
        <v>1032</v>
      </c>
      <c r="C5" s="773">
        <v>131</v>
      </c>
    </row>
    <row r="6" spans="1:3" x14ac:dyDescent="0.3">
      <c r="A6" s="280" t="s">
        <v>450</v>
      </c>
      <c r="B6" s="773">
        <v>958</v>
      </c>
      <c r="C6" s="773">
        <v>186</v>
      </c>
    </row>
    <row r="7" spans="1:3" x14ac:dyDescent="0.3">
      <c r="A7" s="280" t="s">
        <v>452</v>
      </c>
      <c r="B7" s="773">
        <v>1155</v>
      </c>
      <c r="C7" s="773">
        <v>217</v>
      </c>
    </row>
    <row r="8" spans="1:3" x14ac:dyDescent="0.3">
      <c r="A8" s="280" t="s">
        <v>8</v>
      </c>
      <c r="B8" s="773">
        <v>1286</v>
      </c>
      <c r="C8" s="773">
        <v>244</v>
      </c>
    </row>
    <row r="9" spans="1:3" x14ac:dyDescent="0.3">
      <c r="A9" s="280" t="s">
        <v>696</v>
      </c>
      <c r="B9" s="773">
        <v>1117</v>
      </c>
      <c r="C9" s="773">
        <v>158</v>
      </c>
    </row>
    <row r="10" spans="1:3" x14ac:dyDescent="0.3">
      <c r="A10" s="280" t="s">
        <v>92</v>
      </c>
      <c r="B10" s="773">
        <v>6829</v>
      </c>
      <c r="C10" s="773">
        <v>1198</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7082C-8972-44E4-A8B3-3E0964E12A16}">
  <dimension ref="A1:E21"/>
  <sheetViews>
    <sheetView workbookViewId="0">
      <selection sqref="A1:E21"/>
    </sheetView>
  </sheetViews>
  <sheetFormatPr defaultRowHeight="14.4" x14ac:dyDescent="0.3"/>
  <cols>
    <col min="1" max="1" width="14.6640625" bestFit="1" customWidth="1"/>
    <col min="8" max="8" width="12.5546875" bestFit="1" customWidth="1"/>
  </cols>
  <sheetData>
    <row r="1" spans="1:5" ht="15" thickBot="1" x14ac:dyDescent="0.35">
      <c r="A1" s="767" t="s">
        <v>18</v>
      </c>
      <c r="B1" s="768" t="s">
        <v>19</v>
      </c>
      <c r="C1" s="768" t="s">
        <v>36</v>
      </c>
      <c r="D1" s="768" t="s">
        <v>37</v>
      </c>
      <c r="E1" s="768" t="s">
        <v>691</v>
      </c>
    </row>
    <row r="2" spans="1:5" ht="15" thickBot="1" x14ac:dyDescent="0.35">
      <c r="A2" s="769">
        <v>45292</v>
      </c>
      <c r="B2" s="770" t="s">
        <v>33</v>
      </c>
      <c r="C2" s="770" t="s">
        <v>692</v>
      </c>
      <c r="D2" s="770">
        <v>456</v>
      </c>
      <c r="E2" s="770">
        <v>93</v>
      </c>
    </row>
    <row r="3" spans="1:5" ht="15" thickBot="1" x14ac:dyDescent="0.35">
      <c r="A3" s="771">
        <v>45301.526319444441</v>
      </c>
      <c r="B3" s="772" t="s">
        <v>30</v>
      </c>
      <c r="C3" s="772" t="s">
        <v>693</v>
      </c>
      <c r="D3" s="772">
        <v>348</v>
      </c>
      <c r="E3" s="772">
        <v>56</v>
      </c>
    </row>
    <row r="4" spans="1:5" ht="15" thickBot="1" x14ac:dyDescent="0.35">
      <c r="A4" s="771">
        <v>45311.052627314813</v>
      </c>
      <c r="B4" s="772" t="s">
        <v>30</v>
      </c>
      <c r="C4" s="772" t="s">
        <v>692</v>
      </c>
      <c r="D4" s="772">
        <v>247</v>
      </c>
      <c r="E4" s="772">
        <v>76</v>
      </c>
    </row>
    <row r="5" spans="1:5" ht="15" thickBot="1" x14ac:dyDescent="0.35">
      <c r="A5" s="771">
        <v>45320.578946759262</v>
      </c>
      <c r="B5" s="772" t="s">
        <v>33</v>
      </c>
      <c r="C5" s="772" t="s">
        <v>694</v>
      </c>
      <c r="D5" s="772">
        <v>230</v>
      </c>
      <c r="E5" s="772">
        <v>37</v>
      </c>
    </row>
    <row r="6" spans="1:5" ht="15" thickBot="1" x14ac:dyDescent="0.35">
      <c r="A6" s="771">
        <v>45330.105266203704</v>
      </c>
      <c r="B6" s="772" t="s">
        <v>33</v>
      </c>
      <c r="C6" s="772" t="s">
        <v>692</v>
      </c>
      <c r="D6" s="772">
        <v>281</v>
      </c>
      <c r="E6" s="772">
        <v>50</v>
      </c>
    </row>
    <row r="7" spans="1:5" ht="15" thickBot="1" x14ac:dyDescent="0.35">
      <c r="A7" s="771">
        <v>45339.631574074076</v>
      </c>
      <c r="B7" s="772" t="s">
        <v>33</v>
      </c>
      <c r="C7" s="772" t="s">
        <v>693</v>
      </c>
      <c r="D7" s="772">
        <v>334</v>
      </c>
      <c r="E7" s="772">
        <v>52</v>
      </c>
    </row>
    <row r="8" spans="1:5" ht="15" thickBot="1" x14ac:dyDescent="0.35">
      <c r="A8" s="771">
        <v>45349.157893518517</v>
      </c>
      <c r="B8" s="772" t="s">
        <v>30</v>
      </c>
      <c r="C8" s="772" t="s">
        <v>694</v>
      </c>
      <c r="D8" s="772">
        <v>417</v>
      </c>
      <c r="E8" s="772">
        <v>29</v>
      </c>
    </row>
    <row r="9" spans="1:5" ht="15" thickBot="1" x14ac:dyDescent="0.35">
      <c r="A9" s="771">
        <v>45358.684212962966</v>
      </c>
      <c r="B9" s="772" t="s">
        <v>33</v>
      </c>
      <c r="C9" s="772" t="s">
        <v>694</v>
      </c>
      <c r="D9" s="772">
        <v>441</v>
      </c>
      <c r="E9" s="772">
        <v>44</v>
      </c>
    </row>
    <row r="10" spans="1:5" ht="15" thickBot="1" x14ac:dyDescent="0.35">
      <c r="A10" s="771">
        <v>45368.210520833331</v>
      </c>
      <c r="B10" s="772" t="s">
        <v>30</v>
      </c>
      <c r="C10" s="772" t="s">
        <v>692</v>
      </c>
      <c r="D10" s="772">
        <v>76</v>
      </c>
      <c r="E10" s="772">
        <v>63</v>
      </c>
    </row>
    <row r="11" spans="1:5" ht="15" thickBot="1" x14ac:dyDescent="0.35">
      <c r="A11" s="771">
        <v>45377.736840277779</v>
      </c>
      <c r="B11" s="772" t="s">
        <v>33</v>
      </c>
      <c r="C11" s="772" t="s">
        <v>693</v>
      </c>
      <c r="D11" s="772">
        <v>441</v>
      </c>
      <c r="E11" s="772">
        <v>79</v>
      </c>
    </row>
    <row r="12" spans="1:5" ht="15" thickBot="1" x14ac:dyDescent="0.35">
      <c r="A12" s="771">
        <v>45387.263159722221</v>
      </c>
      <c r="B12" s="772" t="s">
        <v>30</v>
      </c>
      <c r="C12" s="772" t="s">
        <v>692</v>
      </c>
      <c r="D12" s="772">
        <v>205</v>
      </c>
      <c r="E12" s="772">
        <v>23</v>
      </c>
    </row>
    <row r="13" spans="1:5" ht="15" thickBot="1" x14ac:dyDescent="0.35">
      <c r="A13" s="771">
        <v>45396.789479166669</v>
      </c>
      <c r="B13" s="772" t="s">
        <v>33</v>
      </c>
      <c r="C13" s="772" t="s">
        <v>693</v>
      </c>
      <c r="D13" s="772">
        <v>483</v>
      </c>
      <c r="E13" s="772">
        <v>97</v>
      </c>
    </row>
    <row r="14" spans="1:5" ht="15" thickBot="1" x14ac:dyDescent="0.35">
      <c r="A14" s="771">
        <v>45406.315787037034</v>
      </c>
      <c r="B14" s="772" t="s">
        <v>20</v>
      </c>
      <c r="C14" s="772" t="s">
        <v>692</v>
      </c>
      <c r="D14" s="772">
        <v>467</v>
      </c>
      <c r="E14" s="772">
        <v>97</v>
      </c>
    </row>
    <row r="15" spans="1:5" ht="15" thickBot="1" x14ac:dyDescent="0.35">
      <c r="A15" s="771">
        <v>45415.842106481483</v>
      </c>
      <c r="B15" s="772" t="s">
        <v>33</v>
      </c>
      <c r="C15" s="772" t="s">
        <v>692</v>
      </c>
      <c r="D15" s="772">
        <v>380</v>
      </c>
      <c r="E15" s="772">
        <v>92</v>
      </c>
    </row>
    <row r="16" spans="1:5" ht="15" thickBot="1" x14ac:dyDescent="0.35">
      <c r="A16" s="771">
        <v>45425.368425925924</v>
      </c>
      <c r="B16" s="772" t="s">
        <v>30</v>
      </c>
      <c r="C16" s="772" t="s">
        <v>693</v>
      </c>
      <c r="D16" s="772">
        <v>497</v>
      </c>
      <c r="E16" s="772">
        <v>71</v>
      </c>
    </row>
    <row r="17" spans="1:5" ht="15" thickBot="1" x14ac:dyDescent="0.35">
      <c r="A17" s="771">
        <v>45434.894733796296</v>
      </c>
      <c r="B17" s="772" t="s">
        <v>30</v>
      </c>
      <c r="C17" s="772" t="s">
        <v>692</v>
      </c>
      <c r="D17" s="772">
        <v>409</v>
      </c>
      <c r="E17" s="772">
        <v>81</v>
      </c>
    </row>
    <row r="18" spans="1:5" ht="15" thickBot="1" x14ac:dyDescent="0.35">
      <c r="A18" s="771">
        <v>45444.421053240738</v>
      </c>
      <c r="B18" s="772" t="s">
        <v>33</v>
      </c>
      <c r="C18" s="772" t="s">
        <v>693</v>
      </c>
      <c r="D18" s="772">
        <v>53</v>
      </c>
      <c r="E18" s="772">
        <v>45</v>
      </c>
    </row>
    <row r="19" spans="1:5" ht="15" thickBot="1" x14ac:dyDescent="0.35">
      <c r="A19" s="771">
        <v>45453.947372685187</v>
      </c>
      <c r="B19" s="772" t="s">
        <v>33</v>
      </c>
      <c r="C19" s="772" t="s">
        <v>694</v>
      </c>
      <c r="D19" s="772">
        <v>398</v>
      </c>
      <c r="E19" s="772">
        <v>33</v>
      </c>
    </row>
    <row r="20" spans="1:5" ht="15" thickBot="1" x14ac:dyDescent="0.35">
      <c r="A20" s="771">
        <v>45463.473680555559</v>
      </c>
      <c r="B20" s="772" t="s">
        <v>24</v>
      </c>
      <c r="C20" s="772" t="s">
        <v>693</v>
      </c>
      <c r="D20" s="772">
        <v>347</v>
      </c>
      <c r="E20" s="772">
        <v>35</v>
      </c>
    </row>
    <row r="21" spans="1:5" ht="15" thickBot="1" x14ac:dyDescent="0.35">
      <c r="A21" s="771">
        <v>45473</v>
      </c>
      <c r="B21" s="772" t="s">
        <v>30</v>
      </c>
      <c r="C21" s="772" t="s">
        <v>694</v>
      </c>
      <c r="D21" s="772">
        <v>319</v>
      </c>
      <c r="E21" s="772">
        <v>45</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D96A7-85FE-4276-9A71-9969A259F52E}">
  <dimension ref="B3:H45"/>
  <sheetViews>
    <sheetView topLeftCell="A25" zoomScale="92" workbookViewId="0">
      <selection activeCell="D39" sqref="D39"/>
    </sheetView>
  </sheetViews>
  <sheetFormatPr defaultColWidth="9.88671875" defaultRowHeight="22.5" customHeight="1" x14ac:dyDescent="0.3"/>
  <cols>
    <col min="1" max="1" width="9.88671875" style="400"/>
    <col min="2" max="2" width="26" style="400" bestFit="1" customWidth="1"/>
    <col min="3" max="3" width="18.21875" style="400" customWidth="1"/>
    <col min="4" max="4" width="20.88671875" style="400" customWidth="1"/>
    <col min="5" max="5" width="28.6640625" style="400" customWidth="1"/>
    <col min="6" max="6" width="11" style="400" customWidth="1"/>
    <col min="7" max="7" width="9.88671875" style="400"/>
    <col min="8" max="8" width="10.88671875" style="400" customWidth="1"/>
    <col min="9" max="16384" width="9.88671875" style="400"/>
  </cols>
  <sheetData>
    <row r="3" spans="2:8" ht="36.450000000000003" customHeight="1" x14ac:dyDescent="0.3">
      <c r="C3" s="729" t="s">
        <v>554</v>
      </c>
      <c r="D3" s="730"/>
      <c r="E3" s="400">
        <f ca="1">OFFSET(C6, 0, 3)</f>
        <v>40</v>
      </c>
      <c r="F3" s="400">
        <f ca="1">OFFSET(C6, 2, 0)</f>
        <v>9</v>
      </c>
      <c r="G3" s="532"/>
      <c r="H3" s="532"/>
    </row>
    <row r="4" spans="2:8" ht="22.5" customHeight="1" x14ac:dyDescent="0.3">
      <c r="E4" s="400">
        <f ca="1">OFFSET(C6, 1, 1)</f>
        <v>7</v>
      </c>
      <c r="F4" s="400">
        <f ca="1">OFFSET(C6, 3, 3)</f>
        <v>13</v>
      </c>
    </row>
    <row r="5" spans="2:8" ht="22.5" customHeight="1" x14ac:dyDescent="0.3">
      <c r="B5" s="533" t="s">
        <v>332</v>
      </c>
    </row>
    <row r="6" spans="2:8" ht="22.5" customHeight="1" x14ac:dyDescent="0.3">
      <c r="B6" s="533" t="s">
        <v>331</v>
      </c>
      <c r="C6" s="526">
        <v>10</v>
      </c>
      <c r="D6" s="526">
        <v>20</v>
      </c>
      <c r="E6" s="526">
        <v>30</v>
      </c>
      <c r="F6" s="527">
        <v>40</v>
      </c>
    </row>
    <row r="7" spans="2:8" ht="22.5" customHeight="1" x14ac:dyDescent="0.3">
      <c r="B7" s="533"/>
      <c r="C7" s="526">
        <v>8</v>
      </c>
      <c r="D7" s="527">
        <v>7</v>
      </c>
      <c r="E7" s="526">
        <v>6</v>
      </c>
      <c r="F7" s="526">
        <v>5</v>
      </c>
    </row>
    <row r="8" spans="2:8" ht="22.5" customHeight="1" x14ac:dyDescent="0.3">
      <c r="B8" s="533" t="str">
        <f ca="1">OFFSET(C6, 0, -1)</f>
        <v>A</v>
      </c>
      <c r="C8" s="527">
        <v>9</v>
      </c>
      <c r="D8" s="526">
        <v>10</v>
      </c>
      <c r="E8" s="526">
        <v>11</v>
      </c>
      <c r="F8" s="526">
        <v>12</v>
      </c>
    </row>
    <row r="9" spans="2:8" ht="22.5" customHeight="1" x14ac:dyDescent="0.3">
      <c r="B9" s="533" t="str">
        <f ca="1">OFFSET(C6, -1, -1)</f>
        <v>B</v>
      </c>
      <c r="C9" s="526">
        <v>16</v>
      </c>
      <c r="D9" s="526">
        <v>15</v>
      </c>
      <c r="E9" s="526">
        <v>14</v>
      </c>
      <c r="F9" s="527">
        <v>13</v>
      </c>
    </row>
    <row r="10" spans="2:8" ht="22.5" customHeight="1" x14ac:dyDescent="0.3">
      <c r="D10" s="524"/>
      <c r="E10" s="524"/>
    </row>
    <row r="15" spans="2:8" ht="22.5" customHeight="1" x14ac:dyDescent="0.3">
      <c r="D15" s="524"/>
      <c r="E15" s="524"/>
    </row>
    <row r="16" spans="2:8" ht="22.5" customHeight="1" x14ac:dyDescent="0.3">
      <c r="D16" s="524"/>
      <c r="E16" s="731" t="s">
        <v>546</v>
      </c>
      <c r="F16" s="732"/>
    </row>
    <row r="17" spans="2:7" ht="22.5" customHeight="1" x14ac:dyDescent="0.3">
      <c r="D17" s="524">
        <v>50</v>
      </c>
      <c r="E17" s="522">
        <v>10</v>
      </c>
      <c r="F17" s="522" t="s">
        <v>331</v>
      </c>
    </row>
    <row r="18" spans="2:7" ht="22.5" customHeight="1" x14ac:dyDescent="0.3">
      <c r="D18" s="524"/>
      <c r="E18" s="522">
        <v>20</v>
      </c>
      <c r="F18" s="522" t="s">
        <v>332</v>
      </c>
    </row>
    <row r="19" spans="2:7" ht="22.5" customHeight="1" x14ac:dyDescent="0.3">
      <c r="D19" s="524"/>
      <c r="E19" s="522">
        <v>30</v>
      </c>
      <c r="F19" s="522" t="s">
        <v>333</v>
      </c>
    </row>
    <row r="20" spans="2:7" ht="22.5" customHeight="1" x14ac:dyDescent="0.3">
      <c r="B20" s="523" t="s">
        <v>557</v>
      </c>
      <c r="C20" s="523" t="s">
        <v>556</v>
      </c>
      <c r="D20" s="524"/>
      <c r="E20" s="522">
        <v>40</v>
      </c>
      <c r="F20" s="522" t="s">
        <v>336</v>
      </c>
    </row>
    <row r="21" spans="2:7" ht="22.5" customHeight="1" x14ac:dyDescent="0.3">
      <c r="B21" s="525" t="s">
        <v>547</v>
      </c>
      <c r="C21" s="525">
        <f ca="1">OFFSET(E17, 0, 0)</f>
        <v>10</v>
      </c>
      <c r="D21" s="524"/>
      <c r="G21" s="524"/>
    </row>
    <row r="22" spans="2:7" ht="22.5" customHeight="1" x14ac:dyDescent="0.3">
      <c r="B22" s="525" t="s">
        <v>548</v>
      </c>
      <c r="C22" s="525">
        <f ca="1">OFFSET(E17,1,0)</f>
        <v>20</v>
      </c>
      <c r="D22" s="524"/>
      <c r="G22" s="524"/>
    </row>
    <row r="23" spans="2:7" ht="22.5" customHeight="1" x14ac:dyDescent="0.3">
      <c r="B23" s="525" t="s">
        <v>549</v>
      </c>
      <c r="C23" s="525" t="str">
        <f ca="1">OFFSET(E17, 0, 1)</f>
        <v>A</v>
      </c>
      <c r="D23" s="524"/>
      <c r="G23" s="524"/>
    </row>
    <row r="24" spans="2:7" ht="22.5" customHeight="1" x14ac:dyDescent="0.3">
      <c r="B24" s="525" t="s">
        <v>550</v>
      </c>
      <c r="C24" s="525" t="str">
        <f ca="1">OFFSET(E17, 1,1)</f>
        <v>B</v>
      </c>
      <c r="D24" s="524"/>
      <c r="G24" s="524"/>
    </row>
    <row r="25" spans="2:7" ht="22.5" customHeight="1" x14ac:dyDescent="0.3">
      <c r="B25" s="525" t="s">
        <v>551</v>
      </c>
      <c r="C25" s="525" t="str">
        <f ca="1">OFFSET(E18, 0, 1)</f>
        <v>B</v>
      </c>
      <c r="D25" s="524"/>
      <c r="G25" s="524"/>
    </row>
    <row r="26" spans="2:7" ht="22.5" customHeight="1" x14ac:dyDescent="0.3">
      <c r="B26" s="525" t="s">
        <v>552</v>
      </c>
      <c r="C26" s="525">
        <f ca="1">OFFSET(E17, 0, -1)</f>
        <v>50</v>
      </c>
      <c r="D26" s="524"/>
      <c r="G26" s="524"/>
    </row>
    <row r="27" spans="2:7" ht="22.5" customHeight="1" x14ac:dyDescent="0.3">
      <c r="B27" s="525" t="s">
        <v>553</v>
      </c>
      <c r="C27" s="525">
        <f ca="1">SUM(OFFSET(E17,0,0,3,1))</f>
        <v>60</v>
      </c>
      <c r="D27" s="400">
        <f ca="1">SUM(OFFSET(E17, 0, 0, 4, 1))</f>
        <v>100</v>
      </c>
    </row>
    <row r="32" spans="2:7" ht="22.5" customHeight="1" x14ac:dyDescent="0.3">
      <c r="D32" s="528" t="s">
        <v>15</v>
      </c>
      <c r="E32" s="528" t="s">
        <v>37</v>
      </c>
    </row>
    <row r="33" spans="4:5" ht="22.5" customHeight="1" x14ac:dyDescent="0.3">
      <c r="D33" s="525" t="s">
        <v>448</v>
      </c>
      <c r="E33" s="525">
        <v>100</v>
      </c>
    </row>
    <row r="34" spans="4:5" ht="22.5" customHeight="1" x14ac:dyDescent="0.3">
      <c r="D34" s="525" t="s">
        <v>366</v>
      </c>
      <c r="E34" s="525">
        <v>200</v>
      </c>
    </row>
    <row r="35" spans="4:5" ht="22.5" customHeight="1" x14ac:dyDescent="0.3">
      <c r="D35" s="525" t="s">
        <v>450</v>
      </c>
      <c r="E35" s="525">
        <v>500</v>
      </c>
    </row>
    <row r="36" spans="4:5" ht="22.5" customHeight="1" x14ac:dyDescent="0.3">
      <c r="D36" s="525" t="s">
        <v>452</v>
      </c>
      <c r="E36" s="525">
        <v>500</v>
      </c>
    </row>
    <row r="37" spans="4:5" ht="22.5" customHeight="1" x14ac:dyDescent="0.3">
      <c r="D37" s="525" t="s">
        <v>8</v>
      </c>
      <c r="E37" s="525">
        <v>700</v>
      </c>
    </row>
    <row r="38" spans="4:5" ht="22.5" customHeight="1" x14ac:dyDescent="0.3">
      <c r="D38" s="525" t="s">
        <v>10</v>
      </c>
      <c r="E38" s="525">
        <v>2500</v>
      </c>
    </row>
    <row r="39" spans="4:5" ht="22.5" customHeight="1" x14ac:dyDescent="0.3">
      <c r="D39" s="525" t="s">
        <v>12</v>
      </c>
      <c r="E39" s="525">
        <v>500</v>
      </c>
    </row>
    <row r="40" spans="4:5" ht="22.5" customHeight="1" x14ac:dyDescent="0.3">
      <c r="D40" s="525" t="s">
        <v>455</v>
      </c>
      <c r="E40" s="525">
        <v>200</v>
      </c>
    </row>
    <row r="41" spans="4:5" ht="22.5" customHeight="1" x14ac:dyDescent="0.3">
      <c r="D41" s="400" t="s">
        <v>559</v>
      </c>
      <c r="E41" s="400">
        <v>100</v>
      </c>
    </row>
    <row r="42" spans="4:5" s="529" customFormat="1" ht="25.95" customHeight="1" x14ac:dyDescent="0.3">
      <c r="D42" s="529" t="s">
        <v>558</v>
      </c>
      <c r="E42" s="529">
        <v>100</v>
      </c>
    </row>
    <row r="43" spans="4:5" ht="43.05" customHeight="1" x14ac:dyDescent="0.3"/>
    <row r="44" spans="4:5" ht="22.5" customHeight="1" x14ac:dyDescent="0.3">
      <c r="D44" s="531" t="s">
        <v>555</v>
      </c>
      <c r="E44" s="530">
        <f ca="1">SUM(OFFSET(D32,COUNTA(E32:E42)-3,1,3,1))</f>
        <v>400</v>
      </c>
    </row>
    <row r="45" spans="4:5" ht="22.5" customHeight="1" x14ac:dyDescent="0.3">
      <c r="D45" s="733"/>
      <c r="E45" s="733"/>
    </row>
  </sheetData>
  <mergeCells count="3">
    <mergeCell ref="C3:D3"/>
    <mergeCell ref="E16:F16"/>
    <mergeCell ref="D45:E4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2C9EA-5B17-4867-9594-6A154A7B1354}">
  <dimension ref="B2:F12"/>
  <sheetViews>
    <sheetView workbookViewId="0">
      <selection activeCell="C19" sqref="C19"/>
    </sheetView>
  </sheetViews>
  <sheetFormatPr defaultColWidth="12" defaultRowHeight="20.55" customHeight="1" x14ac:dyDescent="0.3"/>
  <cols>
    <col min="2" max="2" width="17.77734375" bestFit="1" customWidth="1"/>
    <col min="3" max="3" width="14" customWidth="1"/>
    <col min="4" max="4" width="10.77734375" customWidth="1"/>
    <col min="5" max="5" width="21.21875" style="280" bestFit="1" customWidth="1"/>
    <col min="6" max="6" width="34.21875" bestFit="1" customWidth="1"/>
    <col min="7" max="7" width="11.33203125" customWidth="1"/>
    <col min="8" max="8" width="12.77734375" customWidth="1"/>
  </cols>
  <sheetData>
    <row r="2" spans="2:6" ht="20.55" customHeight="1" x14ac:dyDescent="0.3">
      <c r="E2" s="481" t="s">
        <v>16</v>
      </c>
      <c r="F2" s="481" t="s">
        <v>17</v>
      </c>
    </row>
    <row r="3" spans="2:6" ht="20.55" customHeight="1" x14ac:dyDescent="0.3">
      <c r="E3" s="556" t="s">
        <v>25</v>
      </c>
      <c r="F3" s="542">
        <v>2000</v>
      </c>
    </row>
    <row r="4" spans="2:6" ht="20.55" customHeight="1" x14ac:dyDescent="0.3">
      <c r="E4" s="556" t="s">
        <v>26</v>
      </c>
      <c r="F4" s="543">
        <v>14000</v>
      </c>
    </row>
    <row r="5" spans="2:6" ht="20.55" customHeight="1" x14ac:dyDescent="0.3">
      <c r="B5" s="537">
        <v>10.55</v>
      </c>
      <c r="C5" s="538">
        <v>15000</v>
      </c>
      <c r="E5" s="556" t="s">
        <v>27</v>
      </c>
      <c r="F5" s="542">
        <v>-16000</v>
      </c>
    </row>
    <row r="6" spans="2:6" ht="20.55" customHeight="1" x14ac:dyDescent="0.3">
      <c r="B6" s="534">
        <v>80000000</v>
      </c>
      <c r="C6" s="536">
        <v>2.5</v>
      </c>
      <c r="E6" s="556" t="s">
        <v>31</v>
      </c>
      <c r="F6" s="544">
        <v>30000</v>
      </c>
    </row>
    <row r="7" spans="2:6" ht="20.55" customHeight="1" x14ac:dyDescent="0.3">
      <c r="B7" s="541">
        <v>-9500</v>
      </c>
      <c r="C7" s="535">
        <v>-10</v>
      </c>
      <c r="D7" s="539">
        <f>SUM(B7:C7)</f>
        <v>-9510</v>
      </c>
      <c r="E7" s="556" t="s">
        <v>21</v>
      </c>
      <c r="F7" s="542">
        <v>4000</v>
      </c>
    </row>
    <row r="8" spans="2:6" ht="20.55" customHeight="1" x14ac:dyDescent="0.3">
      <c r="B8" s="540"/>
      <c r="E8" s="556" t="s">
        <v>32</v>
      </c>
      <c r="F8" s="542">
        <v>20000</v>
      </c>
    </row>
    <row r="9" spans="2:6" ht="20.55" customHeight="1" x14ac:dyDescent="0.3">
      <c r="E9" s="556" t="s">
        <v>22</v>
      </c>
      <c r="F9" s="542">
        <v>16000</v>
      </c>
    </row>
    <row r="10" spans="2:6" ht="20.55" customHeight="1" x14ac:dyDescent="0.3">
      <c r="E10" s="556" t="s">
        <v>28</v>
      </c>
      <c r="F10" s="542">
        <v>20000</v>
      </c>
    </row>
    <row r="11" spans="2:6" ht="20.55" customHeight="1" x14ac:dyDescent="0.3">
      <c r="E11" s="556" t="s">
        <v>23</v>
      </c>
      <c r="F11" s="542">
        <v>10000</v>
      </c>
    </row>
    <row r="12" spans="2:6" ht="20.55" customHeight="1" x14ac:dyDescent="0.3">
      <c r="E12" s="556" t="s">
        <v>29</v>
      </c>
      <c r="F12" s="542">
        <v>25000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FC39A-CFC6-44DF-96D5-947358F84863}">
  <dimension ref="B2:D7"/>
  <sheetViews>
    <sheetView workbookViewId="0">
      <selection activeCell="C19" sqref="C19"/>
    </sheetView>
  </sheetViews>
  <sheetFormatPr defaultColWidth="11.33203125" defaultRowHeight="18" customHeight="1" x14ac:dyDescent="0.3"/>
  <cols>
    <col min="1" max="1" width="11.33203125" style="109"/>
    <col min="2" max="2" width="30.21875" style="109" bestFit="1" customWidth="1"/>
    <col min="3" max="3" width="15.77734375" style="109" customWidth="1"/>
    <col min="4" max="4" width="17.5546875" style="109" customWidth="1"/>
    <col min="5" max="16384" width="11.33203125" style="109"/>
  </cols>
  <sheetData>
    <row r="2" spans="2:4" ht="22.95" customHeight="1" x14ac:dyDescent="0.3">
      <c r="B2" s="548" t="s">
        <v>560</v>
      </c>
      <c r="C2" s="548" t="s">
        <v>561</v>
      </c>
    </row>
    <row r="3" spans="2:4" ht="18" customHeight="1" x14ac:dyDescent="0.3">
      <c r="B3" s="549">
        <v>36528</v>
      </c>
      <c r="C3" s="547">
        <v>0.85416666666666663</v>
      </c>
    </row>
    <row r="4" spans="2:4" ht="18" customHeight="1" x14ac:dyDescent="0.3">
      <c r="B4" s="551">
        <v>36526.645833333336</v>
      </c>
      <c r="C4" s="550">
        <v>0.4201388888888889</v>
      </c>
    </row>
    <row r="5" spans="2:4" ht="18" customHeight="1" x14ac:dyDescent="0.3">
      <c r="B5" s="546">
        <v>36533</v>
      </c>
      <c r="C5" s="545"/>
    </row>
    <row r="6" spans="2:4" ht="18" customHeight="1" x14ac:dyDescent="0.3">
      <c r="B6" s="545">
        <v>36537</v>
      </c>
      <c r="C6" s="552"/>
    </row>
    <row r="7" spans="2:4" ht="30.45" customHeight="1" x14ac:dyDescent="0.3">
      <c r="C7" s="553">
        <v>1.6805555555555556</v>
      </c>
      <c r="D7" s="554" t="s">
        <v>562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F3E04-8A28-471C-8A9B-191AA4484048}">
  <dimension ref="B1:E14"/>
  <sheetViews>
    <sheetView workbookViewId="0">
      <selection activeCell="C19" sqref="C19"/>
    </sheetView>
  </sheetViews>
  <sheetFormatPr defaultColWidth="13.5546875" defaultRowHeight="19.05" customHeight="1" x14ac:dyDescent="0.45"/>
  <cols>
    <col min="1" max="2" width="13.5546875" style="557"/>
    <col min="3" max="9" width="13.5546875" style="557" customWidth="1"/>
    <col min="10" max="16384" width="13.5546875" style="557"/>
  </cols>
  <sheetData>
    <row r="1" spans="2:5" ht="22.05" customHeight="1" x14ac:dyDescent="0.45">
      <c r="B1"/>
      <c r="C1"/>
      <c r="D1"/>
      <c r="E1"/>
    </row>
    <row r="2" spans="2:5" ht="19.05" customHeight="1" x14ac:dyDescent="0.45">
      <c r="B2" s="567" t="s">
        <v>195</v>
      </c>
      <c r="C2" s="568" t="s">
        <v>564</v>
      </c>
      <c r="D2" s="568" t="s">
        <v>563</v>
      </c>
      <c r="E2" s="569" t="s">
        <v>565</v>
      </c>
    </row>
    <row r="3" spans="2:5" ht="19.05" customHeight="1" x14ac:dyDescent="0.45">
      <c r="B3" s="565" t="s">
        <v>577</v>
      </c>
      <c r="C3" s="564">
        <v>20</v>
      </c>
      <c r="D3" s="564">
        <v>100</v>
      </c>
      <c r="E3" s="566">
        <v>70</v>
      </c>
    </row>
    <row r="4" spans="2:5" ht="19.05" customHeight="1" x14ac:dyDescent="0.45">
      <c r="B4" s="565" t="s">
        <v>576</v>
      </c>
      <c r="C4" s="564">
        <v>95</v>
      </c>
      <c r="D4" s="564">
        <v>89</v>
      </c>
      <c r="E4" s="566">
        <v>63</v>
      </c>
    </row>
    <row r="5" spans="2:5" ht="19.05" customHeight="1" x14ac:dyDescent="0.45">
      <c r="B5" s="565" t="s">
        <v>575</v>
      </c>
      <c r="C5" s="564">
        <v>80</v>
      </c>
      <c r="D5" s="564">
        <v>78</v>
      </c>
      <c r="E5" s="566">
        <v>46</v>
      </c>
    </row>
    <row r="6" spans="2:5" ht="19.05" customHeight="1" x14ac:dyDescent="0.45">
      <c r="B6" s="565" t="s">
        <v>574</v>
      </c>
      <c r="C6" s="564">
        <v>79</v>
      </c>
      <c r="D6" s="564">
        <v>56</v>
      </c>
      <c r="E6" s="566">
        <v>75</v>
      </c>
    </row>
    <row r="7" spans="2:5" ht="19.05" customHeight="1" x14ac:dyDescent="0.45">
      <c r="B7" s="565" t="s">
        <v>573</v>
      </c>
      <c r="C7" s="564">
        <v>59</v>
      </c>
      <c r="D7" s="564">
        <v>68</v>
      </c>
      <c r="E7" s="566">
        <v>98</v>
      </c>
    </row>
    <row r="8" spans="2:5" ht="19.05" customHeight="1" x14ac:dyDescent="0.45">
      <c r="B8" s="565" t="s">
        <v>572</v>
      </c>
      <c r="C8" s="564">
        <v>38</v>
      </c>
      <c r="D8" s="564">
        <v>94</v>
      </c>
      <c r="E8" s="566">
        <v>24</v>
      </c>
    </row>
    <row r="9" spans="2:5" ht="19.05" customHeight="1" x14ac:dyDescent="0.45">
      <c r="B9" s="565" t="s">
        <v>571</v>
      </c>
      <c r="C9" s="564">
        <v>29</v>
      </c>
      <c r="D9" s="564">
        <v>80</v>
      </c>
      <c r="E9" s="566">
        <v>32</v>
      </c>
    </row>
    <row r="10" spans="2:5" ht="19.05" customHeight="1" x14ac:dyDescent="0.45">
      <c r="B10" s="565" t="s">
        <v>570</v>
      </c>
      <c r="C10" s="564">
        <v>46</v>
      </c>
      <c r="D10" s="564">
        <v>75</v>
      </c>
      <c r="E10" s="566">
        <v>91</v>
      </c>
    </row>
    <row r="11" spans="2:5" ht="19.05" customHeight="1" x14ac:dyDescent="0.45">
      <c r="B11" s="565" t="s">
        <v>569</v>
      </c>
      <c r="C11" s="564">
        <v>75</v>
      </c>
      <c r="D11" s="564">
        <v>60</v>
      </c>
      <c r="E11" s="566">
        <v>78</v>
      </c>
    </row>
    <row r="12" spans="2:5" ht="19.05" customHeight="1" x14ac:dyDescent="0.45">
      <c r="B12" s="565" t="s">
        <v>568</v>
      </c>
      <c r="C12" s="564">
        <v>80</v>
      </c>
      <c r="D12" s="564">
        <v>45</v>
      </c>
      <c r="E12" s="566">
        <v>60</v>
      </c>
    </row>
    <row r="13" spans="2:5" ht="19.05" customHeight="1" x14ac:dyDescent="0.45">
      <c r="B13" s="565" t="s">
        <v>567</v>
      </c>
      <c r="C13" s="564">
        <v>20</v>
      </c>
      <c r="D13" s="564">
        <v>30</v>
      </c>
      <c r="E13" s="566">
        <v>50</v>
      </c>
    </row>
    <row r="14" spans="2:5" ht="19.05" customHeight="1" x14ac:dyDescent="0.45">
      <c r="B14" s="570" t="s">
        <v>566</v>
      </c>
      <c r="C14" s="571">
        <v>50</v>
      </c>
      <c r="D14" s="571">
        <v>71</v>
      </c>
      <c r="E14" s="572">
        <v>80</v>
      </c>
    </row>
  </sheetData>
  <phoneticPr fontId="68" type="noConversion"/>
  <pageMargins left="0.7" right="0.7" top="0.75" bottom="0.75" header="0.3" footer="0.3"/>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4667E-781C-4AE6-BDE4-DDA7F9D09D94}">
  <dimension ref="B3:F14"/>
  <sheetViews>
    <sheetView topLeftCell="A2" workbookViewId="0">
      <selection activeCell="C19" sqref="C19"/>
    </sheetView>
  </sheetViews>
  <sheetFormatPr defaultColWidth="11.77734375" defaultRowHeight="17.55" customHeight="1" x14ac:dyDescent="0.3"/>
  <cols>
    <col min="1" max="1" width="11.77734375" style="146"/>
    <col min="2" max="2" width="10.88671875" style="146" customWidth="1"/>
    <col min="3" max="3" width="16.33203125" style="146" customWidth="1"/>
    <col min="4" max="4" width="18.109375" style="146" customWidth="1"/>
    <col min="5" max="5" width="11.77734375" style="146"/>
    <col min="6" max="6" width="19.88671875" style="146" customWidth="1"/>
    <col min="7" max="16384" width="11.77734375" style="146"/>
  </cols>
  <sheetData>
    <row r="3" spans="2:6" ht="21" customHeight="1" x14ac:dyDescent="0.3">
      <c r="B3" s="586" t="s">
        <v>307</v>
      </c>
      <c r="C3" s="587" t="s">
        <v>196</v>
      </c>
      <c r="D3" s="588" t="s">
        <v>53</v>
      </c>
      <c r="F3" s="563" t="s">
        <v>578</v>
      </c>
    </row>
    <row r="4" spans="2:6" ht="17.55" customHeight="1" x14ac:dyDescent="0.3">
      <c r="B4" s="573">
        <v>9</v>
      </c>
      <c r="C4" s="561" t="s">
        <v>214</v>
      </c>
      <c r="D4" s="578" t="s">
        <v>70</v>
      </c>
      <c r="F4" s="110">
        <v>5136779</v>
      </c>
    </row>
    <row r="5" spans="2:6" ht="17.55" customHeight="1" x14ac:dyDescent="0.3">
      <c r="B5" s="574">
        <v>2</v>
      </c>
      <c r="C5" s="558" t="s">
        <v>200</v>
      </c>
      <c r="D5" s="579" t="s">
        <v>70</v>
      </c>
      <c r="F5" s="110">
        <v>941521</v>
      </c>
    </row>
    <row r="6" spans="2:6" ht="17.55" customHeight="1" x14ac:dyDescent="0.3">
      <c r="B6" s="575">
        <v>5</v>
      </c>
      <c r="C6" s="560" t="s">
        <v>210</v>
      </c>
      <c r="D6" s="580" t="s">
        <v>211</v>
      </c>
      <c r="F6" s="110">
        <v>85491</v>
      </c>
    </row>
    <row r="7" spans="2:6" ht="17.55" customHeight="1" x14ac:dyDescent="0.3">
      <c r="B7" s="555">
        <v>1</v>
      </c>
      <c r="C7" s="312" t="s">
        <v>197</v>
      </c>
      <c r="D7" s="315" t="s">
        <v>198</v>
      </c>
      <c r="F7" s="110">
        <v>74841</v>
      </c>
    </row>
    <row r="8" spans="2:6" ht="17.55" customHeight="1" x14ac:dyDescent="0.3">
      <c r="B8" s="576">
        <v>3</v>
      </c>
      <c r="C8" s="559" t="s">
        <v>222</v>
      </c>
      <c r="D8" s="581" t="s">
        <v>223</v>
      </c>
      <c r="F8" s="110">
        <v>56165</v>
      </c>
    </row>
    <row r="9" spans="2:6" ht="17.55" customHeight="1" x14ac:dyDescent="0.3">
      <c r="B9" s="577">
        <v>7</v>
      </c>
      <c r="C9" s="562" t="s">
        <v>207</v>
      </c>
      <c r="D9" s="582" t="s">
        <v>208</v>
      </c>
      <c r="F9" s="110">
        <v>9515</v>
      </c>
    </row>
    <row r="10" spans="2:6" ht="17.55" customHeight="1" x14ac:dyDescent="0.3">
      <c r="B10" s="573">
        <v>8</v>
      </c>
      <c r="C10" s="561" t="s">
        <v>579</v>
      </c>
      <c r="D10" s="578" t="s">
        <v>204</v>
      </c>
      <c r="F10" s="110">
        <v>4198</v>
      </c>
    </row>
    <row r="11" spans="2:6" ht="17.55" customHeight="1" x14ac:dyDescent="0.3">
      <c r="B11" s="574">
        <v>4</v>
      </c>
      <c r="C11" s="558" t="s">
        <v>216</v>
      </c>
      <c r="D11" s="579" t="s">
        <v>217</v>
      </c>
      <c r="F11" s="110">
        <v>851</v>
      </c>
    </row>
    <row r="12" spans="2:6" ht="17.55" customHeight="1" x14ac:dyDescent="0.3">
      <c r="B12" s="583">
        <v>6</v>
      </c>
      <c r="C12" s="584" t="s">
        <v>219</v>
      </c>
      <c r="D12" s="585" t="s">
        <v>220</v>
      </c>
      <c r="F12" s="110">
        <v>814</v>
      </c>
    </row>
    <row r="13" spans="2:6" ht="17.55" customHeight="1" x14ac:dyDescent="0.3">
      <c r="F13" s="110">
        <v>489</v>
      </c>
    </row>
    <row r="14" spans="2:6" ht="17.55" customHeight="1" x14ac:dyDescent="0.3">
      <c r="F14" s="110">
        <v>81</v>
      </c>
    </row>
  </sheetData>
  <sortState xmlns:xlrd2="http://schemas.microsoft.com/office/spreadsheetml/2017/richdata2" ref="F4:F14">
    <sortCondition descending="1" ref="F4:F14"/>
  </sortState>
  <pageMargins left="0.7" right="0.7" top="0.75" bottom="0.75" header="0.3" footer="0.3"/>
  <pageSetup orientation="portrait"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F6C49-54E2-407A-864F-9C0C95F19B72}">
  <dimension ref="C3:G30"/>
  <sheetViews>
    <sheetView workbookViewId="0">
      <selection activeCell="C19" sqref="C19"/>
    </sheetView>
  </sheetViews>
  <sheetFormatPr defaultColWidth="8.77734375" defaultRowHeight="15.45" customHeight="1" x14ac:dyDescent="0.3"/>
  <cols>
    <col min="1" max="3" width="8.77734375" style="146"/>
    <col min="4" max="5" width="16.5546875" style="146" customWidth="1"/>
    <col min="6" max="6" width="16.21875" style="146" customWidth="1"/>
    <col min="7" max="7" width="19.88671875" style="146" bestFit="1" customWidth="1"/>
    <col min="8" max="8" width="13.33203125" style="146" customWidth="1"/>
    <col min="9" max="9" width="16.33203125" style="146" customWidth="1"/>
    <col min="10" max="10" width="15.33203125" style="146" customWidth="1"/>
    <col min="11" max="16384" width="8.77734375" style="146"/>
  </cols>
  <sheetData>
    <row r="3" spans="3:7" ht="15.45" customHeight="1" x14ac:dyDescent="0.3">
      <c r="C3" s="155" t="s">
        <v>307</v>
      </c>
      <c r="D3" s="4" t="s">
        <v>196</v>
      </c>
      <c r="E3" s="4" t="s">
        <v>53</v>
      </c>
      <c r="G3" s="563" t="s">
        <v>578</v>
      </c>
    </row>
    <row r="4" spans="3:7" ht="15.45" customHeight="1" x14ac:dyDescent="0.3">
      <c r="C4" s="589">
        <v>7</v>
      </c>
      <c r="D4" s="590" t="s">
        <v>579</v>
      </c>
      <c r="E4" s="590" t="s">
        <v>204</v>
      </c>
      <c r="G4" s="110">
        <v>5136779</v>
      </c>
    </row>
    <row r="5" spans="3:7" ht="15.45" customHeight="1" x14ac:dyDescent="0.3">
      <c r="C5" s="157">
        <v>2</v>
      </c>
      <c r="D5" s="158" t="s">
        <v>219</v>
      </c>
      <c r="E5" s="158" t="s">
        <v>220</v>
      </c>
      <c r="G5" s="110">
        <v>81</v>
      </c>
    </row>
    <row r="6" spans="3:7" ht="15.45" customHeight="1" x14ac:dyDescent="0.3">
      <c r="C6" s="161">
        <v>9</v>
      </c>
      <c r="D6" s="162" t="s">
        <v>197</v>
      </c>
      <c r="E6" s="162" t="s">
        <v>198</v>
      </c>
      <c r="G6" s="110">
        <v>489</v>
      </c>
    </row>
    <row r="7" spans="3:7" ht="15.45" customHeight="1" x14ac:dyDescent="0.3">
      <c r="C7" s="159">
        <v>5</v>
      </c>
      <c r="D7" s="6" t="s">
        <v>210</v>
      </c>
      <c r="E7" s="6" t="s">
        <v>211</v>
      </c>
      <c r="G7" s="110">
        <v>814</v>
      </c>
    </row>
    <row r="8" spans="3:7" ht="15.45" customHeight="1" x14ac:dyDescent="0.3">
      <c r="C8" s="110">
        <v>8</v>
      </c>
      <c r="D8" s="160" t="s">
        <v>200</v>
      </c>
      <c r="E8" s="160" t="s">
        <v>70</v>
      </c>
      <c r="G8" s="110">
        <v>851</v>
      </c>
    </row>
    <row r="9" spans="3:7" ht="15.45" customHeight="1" x14ac:dyDescent="0.3">
      <c r="C9" s="110">
        <v>6</v>
      </c>
      <c r="D9" s="160" t="s">
        <v>207</v>
      </c>
      <c r="E9" s="160" t="s">
        <v>208</v>
      </c>
      <c r="G9" s="110">
        <v>4198</v>
      </c>
    </row>
    <row r="10" spans="3:7" ht="15.45" customHeight="1" x14ac:dyDescent="0.3">
      <c r="C10" s="110">
        <v>3</v>
      </c>
      <c r="D10" s="160" t="s">
        <v>216</v>
      </c>
      <c r="E10" s="160" t="s">
        <v>217</v>
      </c>
      <c r="G10" s="110">
        <v>9515</v>
      </c>
    </row>
    <row r="11" spans="3:7" ht="15.45" customHeight="1" x14ac:dyDescent="0.3">
      <c r="C11" s="110">
        <v>4</v>
      </c>
      <c r="D11" s="160" t="s">
        <v>214</v>
      </c>
      <c r="E11" s="160" t="s">
        <v>70</v>
      </c>
      <c r="G11" s="110">
        <v>56165</v>
      </c>
    </row>
    <row r="12" spans="3:7" ht="15.45" customHeight="1" x14ac:dyDescent="0.3">
      <c r="C12" s="149">
        <v>1</v>
      </c>
      <c r="D12" s="156" t="s">
        <v>222</v>
      </c>
      <c r="E12" s="156" t="s">
        <v>223</v>
      </c>
      <c r="G12" s="110">
        <v>74841</v>
      </c>
    </row>
    <row r="13" spans="3:7" ht="15.45" customHeight="1" x14ac:dyDescent="0.3">
      <c r="G13" s="110">
        <v>85491</v>
      </c>
    </row>
    <row r="14" spans="3:7" ht="15.45" customHeight="1" x14ac:dyDescent="0.3">
      <c r="G14" s="110">
        <v>941521</v>
      </c>
    </row>
    <row r="17" spans="5:7" ht="15.45" customHeight="1" x14ac:dyDescent="0.3">
      <c r="E17" s="591" t="s">
        <v>196</v>
      </c>
      <c r="F17" s="518"/>
      <c r="G17" s="591" t="s">
        <v>53</v>
      </c>
    </row>
    <row r="18" spans="5:7" ht="15.45" customHeight="1" x14ac:dyDescent="0.3">
      <c r="E18" s="591" t="s">
        <v>222</v>
      </c>
      <c r="F18" s="518"/>
      <c r="G18" s="591" t="s">
        <v>70</v>
      </c>
    </row>
    <row r="19" spans="5:7" ht="15.45" customHeight="1" x14ac:dyDescent="0.3">
      <c r="E19" s="591" t="s">
        <v>210</v>
      </c>
      <c r="F19" s="518"/>
      <c r="G19" s="591" t="s">
        <v>223</v>
      </c>
    </row>
    <row r="22" spans="5:7" ht="15.45" customHeight="1" x14ac:dyDescent="0.3">
      <c r="E22" s="155"/>
      <c r="F22" s="4"/>
      <c r="G22" s="4"/>
    </row>
    <row r="23" spans="5:7" ht="15.45" customHeight="1" x14ac:dyDescent="0.3">
      <c r="E23" s="155" t="s">
        <v>307</v>
      </c>
      <c r="F23" s="4" t="s">
        <v>196</v>
      </c>
      <c r="G23" s="4" t="s">
        <v>53</v>
      </c>
    </row>
    <row r="24" spans="5:7" ht="15.45" customHeight="1" x14ac:dyDescent="0.3">
      <c r="E24" s="159">
        <v>5</v>
      </c>
      <c r="F24" s="6" t="s">
        <v>210</v>
      </c>
      <c r="G24" s="6" t="s">
        <v>211</v>
      </c>
    </row>
    <row r="25" spans="5:7" ht="15.45" customHeight="1" x14ac:dyDescent="0.3">
      <c r="E25" s="149">
        <v>1</v>
      </c>
      <c r="F25" s="156" t="s">
        <v>222</v>
      </c>
      <c r="G25" s="156" t="s">
        <v>223</v>
      </c>
    </row>
    <row r="26" spans="5:7" ht="15.45" customHeight="1" x14ac:dyDescent="0.3">
      <c r="E26" s="159"/>
      <c r="F26" s="4"/>
      <c r="G26" s="159"/>
    </row>
    <row r="27" spans="5:7" ht="15.45" customHeight="1" x14ac:dyDescent="0.3">
      <c r="E27" s="155" t="s">
        <v>307</v>
      </c>
      <c r="F27" s="4" t="s">
        <v>196</v>
      </c>
      <c r="G27" s="4" t="s">
        <v>53</v>
      </c>
    </row>
    <row r="28" spans="5:7" ht="15.45" customHeight="1" x14ac:dyDescent="0.3">
      <c r="E28" s="110">
        <v>8</v>
      </c>
      <c r="F28" s="160" t="s">
        <v>200</v>
      </c>
      <c r="G28" s="160" t="s">
        <v>70</v>
      </c>
    </row>
    <row r="29" spans="5:7" ht="15.45" customHeight="1" x14ac:dyDescent="0.3">
      <c r="E29" s="110">
        <v>4</v>
      </c>
      <c r="F29" s="160" t="s">
        <v>214</v>
      </c>
      <c r="G29" s="160" t="s">
        <v>70</v>
      </c>
    </row>
    <row r="30" spans="5:7" ht="15.45" customHeight="1" x14ac:dyDescent="0.3">
      <c r="E30" s="149">
        <v>1</v>
      </c>
      <c r="F30" s="156" t="s">
        <v>222</v>
      </c>
      <c r="G30" s="156" t="s">
        <v>223</v>
      </c>
    </row>
  </sheetData>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003E5-E323-43F1-B3E9-337085B19397}">
  <dimension ref="C2:E4"/>
  <sheetViews>
    <sheetView workbookViewId="0">
      <selection activeCell="C19" sqref="C19"/>
    </sheetView>
  </sheetViews>
  <sheetFormatPr defaultRowHeight="14.4" x14ac:dyDescent="0.3"/>
  <cols>
    <col min="4" max="4" width="17.77734375" customWidth="1"/>
    <col min="5" max="5" width="18" customWidth="1"/>
  </cols>
  <sheetData>
    <row r="2" spans="3:5" ht="15.6" x14ac:dyDescent="0.3">
      <c r="C2" s="155" t="s">
        <v>307</v>
      </c>
      <c r="D2" s="4" t="s">
        <v>196</v>
      </c>
      <c r="E2" s="4" t="s">
        <v>53</v>
      </c>
    </row>
    <row r="3" spans="3:5" ht="15.6" x14ac:dyDescent="0.3">
      <c r="C3" s="159">
        <v>5</v>
      </c>
      <c r="D3" s="6" t="s">
        <v>210</v>
      </c>
      <c r="E3" s="6" t="s">
        <v>211</v>
      </c>
    </row>
    <row r="4" spans="3:5" ht="15.6" x14ac:dyDescent="0.3">
      <c r="C4" s="149">
        <v>1</v>
      </c>
      <c r="D4" s="156" t="s">
        <v>222</v>
      </c>
      <c r="E4" s="156" t="s">
        <v>223</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9DC24-F447-40A3-8649-21D8C2374EF6}">
  <dimension ref="B1:L18"/>
  <sheetViews>
    <sheetView workbookViewId="0">
      <selection activeCell="C19" sqref="C19"/>
    </sheetView>
  </sheetViews>
  <sheetFormatPr defaultRowHeight="17.55" customHeight="1" x14ac:dyDescent="0.3"/>
  <cols>
    <col min="2" max="2" width="18.109375" customWidth="1"/>
    <col min="3" max="3" width="11.77734375" customWidth="1"/>
    <col min="4" max="4" width="18" customWidth="1"/>
    <col min="6" max="6" width="16.88671875" customWidth="1"/>
    <col min="7" max="7" width="11.44140625" customWidth="1"/>
    <col min="8" max="8" width="17.88671875" customWidth="1"/>
    <col min="10" max="10" width="15.77734375" bestFit="1" customWidth="1"/>
    <col min="11" max="11" width="10.77734375" customWidth="1"/>
    <col min="12" max="12" width="16.109375" customWidth="1"/>
  </cols>
  <sheetData>
    <row r="1" spans="2:12" ht="17.55" customHeight="1" x14ac:dyDescent="0.35">
      <c r="J1" s="734" t="s">
        <v>594</v>
      </c>
      <c r="K1" s="734"/>
      <c r="L1" s="734"/>
    </row>
    <row r="2" spans="2:12" ht="17.55" customHeight="1" x14ac:dyDescent="0.3">
      <c r="B2" s="595" t="s">
        <v>376</v>
      </c>
      <c r="C2" s="596" t="s">
        <v>580</v>
      </c>
      <c r="D2" s="596" t="s">
        <v>378</v>
      </c>
      <c r="F2" s="211" t="s">
        <v>376</v>
      </c>
      <c r="G2" s="212" t="s">
        <v>580</v>
      </c>
      <c r="H2" s="211" t="s">
        <v>378</v>
      </c>
      <c r="J2" t="str" cm="1">
        <f t="array" ref="J2:L16">_xlfn.UNIQUE(F2:H18)</f>
        <v>Employee's Name</v>
      </c>
      <c r="K2" t="str">
        <v>Regions</v>
      </c>
      <c r="L2" t="str">
        <v>Salary per annum</v>
      </c>
    </row>
    <row r="3" spans="2:12" ht="17.55" customHeight="1" x14ac:dyDescent="0.3">
      <c r="B3" s="219" t="s">
        <v>372</v>
      </c>
      <c r="C3" s="213" t="s">
        <v>581</v>
      </c>
      <c r="D3" s="592">
        <v>1000000</v>
      </c>
      <c r="F3" s="218" t="s">
        <v>372</v>
      </c>
      <c r="G3" s="213" t="s">
        <v>581</v>
      </c>
      <c r="H3" s="214">
        <v>1000000</v>
      </c>
      <c r="J3" t="str">
        <v>Aman Sharma</v>
      </c>
      <c r="K3" t="str">
        <v>Mumbai</v>
      </c>
      <c r="L3">
        <v>1000000</v>
      </c>
    </row>
    <row r="4" spans="2:12" ht="17.55" customHeight="1" x14ac:dyDescent="0.3">
      <c r="B4" s="219" t="s">
        <v>374</v>
      </c>
      <c r="C4" s="213" t="s">
        <v>584</v>
      </c>
      <c r="D4" s="592">
        <v>600000</v>
      </c>
      <c r="F4" s="218" t="s">
        <v>374</v>
      </c>
      <c r="G4" s="213" t="s">
        <v>584</v>
      </c>
      <c r="H4" s="214">
        <v>600000</v>
      </c>
      <c r="J4" t="str">
        <v>Ishan Saxena</v>
      </c>
      <c r="K4" t="str">
        <v>Bhopal</v>
      </c>
      <c r="L4">
        <v>600000</v>
      </c>
    </row>
    <row r="5" spans="2:12" ht="17.55" customHeight="1" x14ac:dyDescent="0.3">
      <c r="B5" s="219" t="s">
        <v>323</v>
      </c>
      <c r="C5" s="215" t="s">
        <v>583</v>
      </c>
      <c r="D5" s="592">
        <v>400000</v>
      </c>
      <c r="F5" s="218" t="s">
        <v>323</v>
      </c>
      <c r="G5" s="215" t="s">
        <v>583</v>
      </c>
      <c r="H5" s="214">
        <v>400000</v>
      </c>
      <c r="J5" s="214" t="str">
        <v>Kritika Kumari</v>
      </c>
      <c r="K5" t="str">
        <v>Jalandhar</v>
      </c>
      <c r="L5">
        <v>400000</v>
      </c>
    </row>
    <row r="6" spans="2:12" ht="17.55" customHeight="1" x14ac:dyDescent="0.3">
      <c r="B6" s="219" t="s">
        <v>375</v>
      </c>
      <c r="C6" s="213" t="s">
        <v>582</v>
      </c>
      <c r="D6" s="592">
        <v>200000</v>
      </c>
      <c r="F6" s="218" t="s">
        <v>375</v>
      </c>
      <c r="G6" s="213" t="s">
        <v>582</v>
      </c>
      <c r="H6" s="214">
        <v>200000</v>
      </c>
      <c r="I6" s="213"/>
      <c r="J6" t="str">
        <v>Mayra khan</v>
      </c>
      <c r="K6" t="str">
        <v>Delhi</v>
      </c>
      <c r="L6">
        <v>200000</v>
      </c>
    </row>
    <row r="7" spans="2:12" ht="17.55" customHeight="1" x14ac:dyDescent="0.3">
      <c r="B7" s="219" t="s">
        <v>373</v>
      </c>
      <c r="C7" s="213" t="s">
        <v>585</v>
      </c>
      <c r="D7" s="592">
        <v>500000</v>
      </c>
      <c r="F7" s="218" t="s">
        <v>373</v>
      </c>
      <c r="G7" s="213" t="s">
        <v>585</v>
      </c>
      <c r="H7" s="214">
        <v>500000</v>
      </c>
      <c r="J7" t="str">
        <v>Puneet Singh</v>
      </c>
      <c r="K7" t="str">
        <v>Goa</v>
      </c>
      <c r="L7">
        <v>500000</v>
      </c>
    </row>
    <row r="8" spans="2:12" ht="17.55" customHeight="1" x14ac:dyDescent="0.3">
      <c r="B8" s="219" t="s">
        <v>324</v>
      </c>
      <c r="C8" s="215" t="s">
        <v>586</v>
      </c>
      <c r="D8" s="592">
        <v>180000</v>
      </c>
      <c r="F8" s="218" t="s">
        <v>324</v>
      </c>
      <c r="G8" s="215" t="s">
        <v>586</v>
      </c>
      <c r="H8" s="214">
        <v>180000</v>
      </c>
      <c r="J8" t="str">
        <v>Rajnish Gupta</v>
      </c>
      <c r="K8" t="str">
        <v>Jhansi</v>
      </c>
      <c r="L8">
        <v>180000</v>
      </c>
    </row>
    <row r="9" spans="2:12" ht="17.55" customHeight="1" x14ac:dyDescent="0.3">
      <c r="B9" s="219" t="s">
        <v>591</v>
      </c>
      <c r="C9" s="215" t="s">
        <v>593</v>
      </c>
      <c r="D9" s="592">
        <v>350000</v>
      </c>
      <c r="F9" s="218" t="s">
        <v>591</v>
      </c>
      <c r="G9" s="215" t="s">
        <v>593</v>
      </c>
      <c r="H9" s="214">
        <v>350000</v>
      </c>
      <c r="J9" t="str">
        <v>Pooja Gogia</v>
      </c>
      <c r="K9" t="str">
        <v>Kanpur</v>
      </c>
      <c r="L9">
        <v>350000</v>
      </c>
    </row>
    <row r="10" spans="2:12" ht="17.55" customHeight="1" x14ac:dyDescent="0.3">
      <c r="B10" s="230" t="s">
        <v>382</v>
      </c>
      <c r="C10" s="213" t="s">
        <v>582</v>
      </c>
      <c r="D10" s="593">
        <v>225000</v>
      </c>
      <c r="F10" s="221" t="s">
        <v>382</v>
      </c>
      <c r="G10" s="213" t="s">
        <v>582</v>
      </c>
      <c r="H10" s="222">
        <v>225000</v>
      </c>
      <c r="J10" t="str">
        <v>Ashish Singh</v>
      </c>
      <c r="K10" t="str">
        <v>Delhi</v>
      </c>
      <c r="L10">
        <v>225000</v>
      </c>
    </row>
    <row r="11" spans="2:12" ht="17.55" customHeight="1" x14ac:dyDescent="0.3">
      <c r="B11" s="219" t="s">
        <v>373</v>
      </c>
      <c r="C11" s="213" t="s">
        <v>585</v>
      </c>
      <c r="D11" s="592">
        <v>500000</v>
      </c>
      <c r="F11" s="218" t="s">
        <v>373</v>
      </c>
      <c r="G11" s="213" t="s">
        <v>585</v>
      </c>
      <c r="H11" s="214">
        <v>500000</v>
      </c>
      <c r="J11" t="str">
        <v>Ayesha khan</v>
      </c>
      <c r="K11" t="str">
        <v>Jalandhar</v>
      </c>
      <c r="L11">
        <v>300000</v>
      </c>
    </row>
    <row r="12" spans="2:12" ht="17.55" customHeight="1" x14ac:dyDescent="0.3">
      <c r="B12" s="219" t="s">
        <v>592</v>
      </c>
      <c r="C12" s="215" t="s">
        <v>583</v>
      </c>
      <c r="D12" s="592">
        <v>300000</v>
      </c>
      <c r="F12" s="218" t="s">
        <v>592</v>
      </c>
      <c r="G12" s="215" t="s">
        <v>583</v>
      </c>
      <c r="H12" s="214">
        <v>300000</v>
      </c>
      <c r="J12" t="str">
        <v>Ishan Saxena</v>
      </c>
      <c r="K12" t="str">
        <v>Mumbai</v>
      </c>
      <c r="L12">
        <v>250000</v>
      </c>
    </row>
    <row r="13" spans="2:12" ht="17.55" customHeight="1" x14ac:dyDescent="0.3">
      <c r="B13" s="230" t="s">
        <v>382</v>
      </c>
      <c r="C13" s="213" t="s">
        <v>582</v>
      </c>
      <c r="D13" s="593">
        <v>225000</v>
      </c>
      <c r="F13" s="221" t="s">
        <v>382</v>
      </c>
      <c r="G13" s="213" t="s">
        <v>582</v>
      </c>
      <c r="H13" s="222">
        <v>225000</v>
      </c>
      <c r="J13" t="str">
        <v>Kritika Kumari</v>
      </c>
      <c r="K13" t="str">
        <v>Bhopal</v>
      </c>
      <c r="L13">
        <v>700000</v>
      </c>
    </row>
    <row r="14" spans="2:12" ht="17.55" customHeight="1" x14ac:dyDescent="0.3">
      <c r="B14" s="219" t="s">
        <v>374</v>
      </c>
      <c r="C14" s="213" t="s">
        <v>581</v>
      </c>
      <c r="D14" s="592">
        <v>250000</v>
      </c>
      <c r="F14" s="218" t="s">
        <v>374</v>
      </c>
      <c r="G14" s="213" t="s">
        <v>581</v>
      </c>
      <c r="H14" s="214">
        <v>250000</v>
      </c>
      <c r="J14" t="str">
        <v>Pooja Gupta</v>
      </c>
      <c r="K14" t="str">
        <v>Pune</v>
      </c>
      <c r="L14">
        <v>450000</v>
      </c>
    </row>
    <row r="15" spans="2:12" ht="17.55" customHeight="1" x14ac:dyDescent="0.3">
      <c r="B15" s="219" t="s">
        <v>323</v>
      </c>
      <c r="C15" s="213" t="s">
        <v>584</v>
      </c>
      <c r="D15" s="592">
        <v>700000</v>
      </c>
      <c r="F15" s="218" t="s">
        <v>323</v>
      </c>
      <c r="G15" s="213" t="s">
        <v>584</v>
      </c>
      <c r="H15" s="214">
        <v>700000</v>
      </c>
      <c r="J15" t="str">
        <v>Puneet Singh</v>
      </c>
      <c r="K15" t="str">
        <v>Kolkata</v>
      </c>
      <c r="L15">
        <v>500000</v>
      </c>
    </row>
    <row r="16" spans="2:12" ht="17.55" customHeight="1" x14ac:dyDescent="0.3">
      <c r="B16" s="219" t="s">
        <v>381</v>
      </c>
      <c r="C16" s="218" t="s">
        <v>588</v>
      </c>
      <c r="D16" s="592">
        <v>450000</v>
      </c>
      <c r="F16" s="218" t="s">
        <v>381</v>
      </c>
      <c r="G16" s="218" t="s">
        <v>588</v>
      </c>
      <c r="H16" s="214">
        <v>450000</v>
      </c>
      <c r="J16" t="str">
        <v>Ratan Sharma</v>
      </c>
      <c r="K16" t="str">
        <v>Bangalore</v>
      </c>
      <c r="L16">
        <v>800000</v>
      </c>
    </row>
    <row r="17" spans="2:8" ht="17.55" customHeight="1" x14ac:dyDescent="0.3">
      <c r="B17" s="219" t="s">
        <v>373</v>
      </c>
      <c r="C17" s="217" t="s">
        <v>589</v>
      </c>
      <c r="D17" s="592">
        <v>500000</v>
      </c>
      <c r="F17" s="218" t="s">
        <v>373</v>
      </c>
      <c r="G17" s="217" t="s">
        <v>589</v>
      </c>
      <c r="H17" s="214">
        <v>500000</v>
      </c>
    </row>
    <row r="18" spans="2:8" ht="17.55" customHeight="1" x14ac:dyDescent="0.3">
      <c r="B18" s="230" t="s">
        <v>590</v>
      </c>
      <c r="C18" s="594" t="s">
        <v>587</v>
      </c>
      <c r="D18" s="593">
        <v>800000</v>
      </c>
      <c r="F18" s="218" t="s">
        <v>590</v>
      </c>
      <c r="G18" s="217" t="s">
        <v>587</v>
      </c>
      <c r="H18" s="214">
        <v>800000</v>
      </c>
    </row>
  </sheetData>
  <mergeCells count="1">
    <mergeCell ref="J1:L1"/>
  </mergeCells>
  <conditionalFormatting sqref="B7">
    <cfRule type="duplicateValues" dxfId="13" priority="4"/>
  </conditionalFormatting>
  <conditionalFormatting sqref="B2:D18">
    <cfRule type="duplicateValues" dxfId="12" priority="3"/>
  </conditionalFormatting>
  <conditionalFormatting sqref="F7">
    <cfRule type="duplicateValues" dxfId="11" priority="2"/>
  </conditionalFormatting>
  <conditionalFormatting sqref="F2:H18">
    <cfRule type="duplicateValues" dxfId="10" priority="1"/>
  </conditionalFormatting>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0D8A0-EBC1-4C00-BCDB-DF22D6C22C51}">
  <dimension ref="A1:C15"/>
  <sheetViews>
    <sheetView workbookViewId="0">
      <selection activeCell="C19" sqref="C19"/>
    </sheetView>
  </sheetViews>
  <sheetFormatPr defaultRowHeight="14.4" x14ac:dyDescent="0.3"/>
  <cols>
    <col min="1" max="1" width="18" bestFit="1" customWidth="1"/>
    <col min="2" max="2" width="9.5546875" bestFit="1" customWidth="1"/>
    <col min="3" max="3" width="17.77734375" bestFit="1" customWidth="1"/>
  </cols>
  <sheetData>
    <row r="1" spans="1:3" x14ac:dyDescent="0.3">
      <c r="A1" t="s">
        <v>376</v>
      </c>
      <c r="B1" t="s">
        <v>580</v>
      </c>
      <c r="C1" t="s">
        <v>378</v>
      </c>
    </row>
    <row r="2" spans="1:3" x14ac:dyDescent="0.3">
      <c r="A2" t="s">
        <v>372</v>
      </c>
      <c r="B2" t="s">
        <v>581</v>
      </c>
      <c r="C2">
        <v>1000000</v>
      </c>
    </row>
    <row r="3" spans="1:3" x14ac:dyDescent="0.3">
      <c r="A3" t="s">
        <v>374</v>
      </c>
      <c r="B3" t="s">
        <v>584</v>
      </c>
      <c r="C3">
        <v>600000</v>
      </c>
    </row>
    <row r="4" spans="1:3" x14ac:dyDescent="0.3">
      <c r="A4" t="s">
        <v>323</v>
      </c>
      <c r="B4" t="s">
        <v>583</v>
      </c>
      <c r="C4">
        <v>400000</v>
      </c>
    </row>
    <row r="5" spans="1:3" x14ac:dyDescent="0.3">
      <c r="A5" t="s">
        <v>375</v>
      </c>
      <c r="B5" t="s">
        <v>582</v>
      </c>
      <c r="C5">
        <v>200000</v>
      </c>
    </row>
    <row r="6" spans="1:3" x14ac:dyDescent="0.3">
      <c r="A6" t="s">
        <v>373</v>
      </c>
      <c r="B6" t="s">
        <v>585</v>
      </c>
      <c r="C6">
        <v>500000</v>
      </c>
    </row>
    <row r="7" spans="1:3" x14ac:dyDescent="0.3">
      <c r="A7" t="s">
        <v>324</v>
      </c>
      <c r="B7" t="s">
        <v>586</v>
      </c>
      <c r="C7">
        <v>180000</v>
      </c>
    </row>
    <row r="8" spans="1:3" x14ac:dyDescent="0.3">
      <c r="A8" t="s">
        <v>591</v>
      </c>
      <c r="B8" t="s">
        <v>593</v>
      </c>
      <c r="C8">
        <v>350000</v>
      </c>
    </row>
    <row r="9" spans="1:3" x14ac:dyDescent="0.3">
      <c r="A9" t="s">
        <v>382</v>
      </c>
      <c r="B9" t="s">
        <v>582</v>
      </c>
      <c r="C9">
        <v>225000</v>
      </c>
    </row>
    <row r="10" spans="1:3" x14ac:dyDescent="0.3">
      <c r="A10" t="s">
        <v>592</v>
      </c>
      <c r="B10" t="s">
        <v>583</v>
      </c>
      <c r="C10">
        <v>300000</v>
      </c>
    </row>
    <row r="11" spans="1:3" x14ac:dyDescent="0.3">
      <c r="A11" t="s">
        <v>374</v>
      </c>
      <c r="B11" t="s">
        <v>581</v>
      </c>
      <c r="C11">
        <v>250000</v>
      </c>
    </row>
    <row r="12" spans="1:3" x14ac:dyDescent="0.3">
      <c r="A12" t="s">
        <v>323</v>
      </c>
      <c r="B12" t="s">
        <v>584</v>
      </c>
      <c r="C12">
        <v>700000</v>
      </c>
    </row>
    <row r="13" spans="1:3" x14ac:dyDescent="0.3">
      <c r="A13" t="s">
        <v>381</v>
      </c>
      <c r="B13" t="s">
        <v>588</v>
      </c>
      <c r="C13">
        <v>450000</v>
      </c>
    </row>
    <row r="14" spans="1:3" x14ac:dyDescent="0.3">
      <c r="A14" t="s">
        <v>373</v>
      </c>
      <c r="B14" t="s">
        <v>589</v>
      </c>
      <c r="C14">
        <v>500000</v>
      </c>
    </row>
    <row r="15" spans="1:3" x14ac:dyDescent="0.3">
      <c r="A15" t="s">
        <v>590</v>
      </c>
      <c r="B15" t="s">
        <v>587</v>
      </c>
      <c r="C15">
        <v>800000</v>
      </c>
    </row>
  </sheetData>
  <pageMargins left="0.7" right="0.7" top="0.75" bottom="0.75" header="0.3" footer="0.3"/>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48796-B003-4E41-95A2-039B9E93A752}">
  <dimension ref="D2:E17"/>
  <sheetViews>
    <sheetView workbookViewId="0">
      <selection activeCell="C19" sqref="C19"/>
    </sheetView>
  </sheetViews>
  <sheetFormatPr defaultColWidth="8.77734375" defaultRowHeight="15" x14ac:dyDescent="0.3"/>
  <cols>
    <col min="1" max="1" width="8.77734375" style="599"/>
    <col min="2" max="2" width="12.88671875" style="599" customWidth="1"/>
    <col min="3" max="3" width="12.21875" style="599" customWidth="1"/>
    <col min="4" max="4" width="22.109375" style="599" bestFit="1" customWidth="1"/>
    <col min="5" max="5" width="16.44140625" style="599" customWidth="1"/>
    <col min="6" max="16384" width="8.77734375" style="599"/>
  </cols>
  <sheetData>
    <row r="2" spans="4:5" ht="21" customHeight="1" x14ac:dyDescent="0.3">
      <c r="D2" s="735" t="s">
        <v>595</v>
      </c>
      <c r="E2" s="735"/>
    </row>
    <row r="3" spans="4:5" ht="16.8" x14ac:dyDescent="0.3">
      <c r="D3" s="597" t="s">
        <v>596</v>
      </c>
      <c r="E3" s="597" t="s">
        <v>597</v>
      </c>
    </row>
    <row r="4" spans="4:5" x14ac:dyDescent="0.3">
      <c r="D4" s="600" t="s">
        <v>598</v>
      </c>
      <c r="E4" s="603">
        <v>6000</v>
      </c>
    </row>
    <row r="5" spans="4:5" x14ac:dyDescent="0.3">
      <c r="D5" s="600" t="s">
        <v>599</v>
      </c>
      <c r="E5" s="603">
        <v>10000</v>
      </c>
    </row>
    <row r="6" spans="4:5" x14ac:dyDescent="0.3">
      <c r="D6" s="600" t="s">
        <v>600</v>
      </c>
      <c r="E6" s="603">
        <v>3000</v>
      </c>
    </row>
    <row r="7" spans="4:5" x14ac:dyDescent="0.3">
      <c r="D7" s="600" t="s">
        <v>601</v>
      </c>
      <c r="E7" s="603">
        <v>2500</v>
      </c>
    </row>
    <row r="8" spans="4:5" x14ac:dyDescent="0.3">
      <c r="D8" s="600" t="s">
        <v>602</v>
      </c>
      <c r="E8" s="603">
        <v>2000</v>
      </c>
    </row>
    <row r="9" spans="4:5" x14ac:dyDescent="0.3">
      <c r="D9" s="600" t="s">
        <v>603</v>
      </c>
      <c r="E9" s="603">
        <v>4500</v>
      </c>
    </row>
    <row r="10" spans="4:5" x14ac:dyDescent="0.3">
      <c r="D10" s="600" t="s">
        <v>604</v>
      </c>
      <c r="E10" s="603">
        <v>2500</v>
      </c>
    </row>
    <row r="11" spans="4:5" x14ac:dyDescent="0.3">
      <c r="D11" s="600" t="s">
        <v>605</v>
      </c>
      <c r="E11" s="603">
        <v>1000</v>
      </c>
    </row>
    <row r="12" spans="4:5" x14ac:dyDescent="0.3">
      <c r="D12" s="600" t="s">
        <v>606</v>
      </c>
      <c r="E12" s="603">
        <v>2000</v>
      </c>
    </row>
    <row r="13" spans="4:5" x14ac:dyDescent="0.3">
      <c r="D13" s="600" t="s">
        <v>607</v>
      </c>
      <c r="E13" s="603">
        <v>7000</v>
      </c>
    </row>
    <row r="14" spans="4:5" x14ac:dyDescent="0.3">
      <c r="D14" s="601" t="s">
        <v>608</v>
      </c>
      <c r="E14" s="603">
        <v>9500</v>
      </c>
    </row>
    <row r="15" spans="4:5" ht="16.8" x14ac:dyDescent="0.3">
      <c r="D15" s="598" t="s">
        <v>43</v>
      </c>
      <c r="E15" s="604">
        <f>SUM(E4:E14)</f>
        <v>50000</v>
      </c>
    </row>
    <row r="16" spans="4:5" x14ac:dyDescent="0.3">
      <c r="D16" s="454"/>
    </row>
    <row r="17" spans="4:5" ht="16.8" x14ac:dyDescent="0.3">
      <c r="D17" s="598" t="s">
        <v>609</v>
      </c>
      <c r="E17" s="602" t="s">
        <v>624</v>
      </c>
    </row>
  </sheetData>
  <scenarios current="1" show="0" sqref="E15">
    <scenario name="LowerCost" locked="1" count="11" user="DR. NISHTHA JAIN">
      <inputCells r="E4" val="6000" numFmtId="180"/>
      <inputCells r="E5" val="10000" numFmtId="180"/>
      <inputCells r="E6" val="3000" numFmtId="180"/>
      <inputCells r="E7" val="2500" numFmtId="180"/>
      <inputCells r="E8" val="2000" numFmtId="180"/>
      <inputCells r="E9" val="4500" numFmtId="180"/>
      <inputCells r="E10" val="2500" numFmtId="180"/>
      <inputCells r="E11" val="1000" numFmtId="180"/>
      <inputCells r="E12" val="2000" numFmtId="180"/>
      <inputCells r="E13" val="7000" numFmtId="180"/>
      <inputCells r="E14" val="9500" numFmtId="180"/>
    </scenario>
    <scenario name="HigherCost" locked="1" count="11" user="DR. NISHTHA JAIN" comment="Created by DR. NISHTHA JAIN _x000a_Modified by DR. NISHTHA JAIN on 20-02-2025">
      <inputCells r="E4" val="8000" numFmtId="180"/>
      <inputCells r="E5" val="11000" numFmtId="180"/>
      <inputCells r="E6" val="5000" numFmtId="180"/>
      <inputCells r="E7" val="5000" numFmtId="180"/>
      <inputCells r="E8" val="2500" numFmtId="180"/>
      <inputCells r="E9" val="6000" numFmtId="180"/>
      <inputCells r="E10" val="3000" numFmtId="180"/>
      <inputCells r="E11" val="2500" numFmtId="180"/>
      <inputCells r="E12" val="3500" numFmtId="180"/>
      <inputCells r="E13" val="8000" numFmtId="180"/>
      <inputCells r="E14" val="11000" numFmtId="180"/>
    </scenario>
  </scenarios>
  <mergeCells count="1">
    <mergeCell ref="D2:E2"/>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5CF86-C14F-4584-8040-E71F2DF14D32}">
  <sheetPr>
    <outlinePr summaryBelow="0"/>
  </sheetPr>
  <dimension ref="B1:F21"/>
  <sheetViews>
    <sheetView showGridLines="0" workbookViewId="0">
      <selection activeCell="C19" sqref="C19"/>
    </sheetView>
  </sheetViews>
  <sheetFormatPr defaultRowHeight="14.4" outlineLevelRow="1" outlineLevelCol="1" x14ac:dyDescent="0.3"/>
  <cols>
    <col min="3" max="3" width="9.77734375" bestFit="1" customWidth="1"/>
    <col min="4" max="6" width="12.5546875" bestFit="1" customWidth="1" outlineLevel="1"/>
  </cols>
  <sheetData>
    <row r="1" spans="2:6" ht="15" thickBot="1" x14ac:dyDescent="0.35"/>
    <row r="2" spans="2:6" ht="15.6" x14ac:dyDescent="0.3">
      <c r="B2" s="608" t="s">
        <v>615</v>
      </c>
      <c r="C2" s="608"/>
      <c r="D2" s="613"/>
      <c r="E2" s="613"/>
      <c r="F2" s="613"/>
    </row>
    <row r="3" spans="2:6" ht="15.6" collapsed="1" x14ac:dyDescent="0.3">
      <c r="B3" s="607"/>
      <c r="C3" s="607"/>
      <c r="D3" s="614" t="s">
        <v>617</v>
      </c>
      <c r="E3" s="614" t="s">
        <v>613</v>
      </c>
      <c r="F3" s="614" t="s">
        <v>614</v>
      </c>
    </row>
    <row r="4" spans="2:6" ht="51" hidden="1" outlineLevel="1" x14ac:dyDescent="0.3">
      <c r="B4" s="610"/>
      <c r="C4" s="610"/>
      <c r="E4" s="616"/>
      <c r="F4" s="616" t="s">
        <v>625</v>
      </c>
    </row>
    <row r="5" spans="2:6" x14ac:dyDescent="0.3">
      <c r="B5" s="611" t="s">
        <v>616</v>
      </c>
      <c r="C5" s="611"/>
      <c r="D5" s="609"/>
      <c r="E5" s="609"/>
      <c r="F5" s="609"/>
    </row>
    <row r="6" spans="2:6" outlineLevel="1" x14ac:dyDescent="0.3">
      <c r="B6" s="610"/>
      <c r="C6" s="610" t="s">
        <v>626</v>
      </c>
      <c r="D6" s="605">
        <v>8000</v>
      </c>
      <c r="E6" s="615">
        <v>6000</v>
      </c>
      <c r="F6" s="615">
        <v>8000</v>
      </c>
    </row>
    <row r="7" spans="2:6" outlineLevel="1" x14ac:dyDescent="0.3">
      <c r="B7" s="610"/>
      <c r="C7" s="610" t="s">
        <v>627</v>
      </c>
      <c r="D7" s="605">
        <v>7000</v>
      </c>
      <c r="E7" s="615">
        <v>10000</v>
      </c>
      <c r="F7" s="615">
        <v>11000</v>
      </c>
    </row>
    <row r="8" spans="2:6" outlineLevel="1" x14ac:dyDescent="0.3">
      <c r="B8" s="610"/>
      <c r="C8" s="610" t="s">
        <v>623</v>
      </c>
      <c r="D8" s="605">
        <v>5000</v>
      </c>
      <c r="E8" s="615">
        <v>3000</v>
      </c>
      <c r="F8" s="615">
        <v>5000</v>
      </c>
    </row>
    <row r="9" spans="2:6" outlineLevel="1" x14ac:dyDescent="0.3">
      <c r="B9" s="610"/>
      <c r="C9" s="610" t="s">
        <v>622</v>
      </c>
      <c r="D9" s="605">
        <v>5000</v>
      </c>
      <c r="E9" s="615">
        <v>2500</v>
      </c>
      <c r="F9" s="615">
        <v>5000</v>
      </c>
    </row>
    <row r="10" spans="2:6" outlineLevel="1" x14ac:dyDescent="0.3">
      <c r="B10" s="610"/>
      <c r="C10" s="610" t="s">
        <v>610</v>
      </c>
      <c r="D10" s="605">
        <v>2500</v>
      </c>
      <c r="E10" s="615">
        <v>2000</v>
      </c>
      <c r="F10" s="615">
        <v>2500</v>
      </c>
    </row>
    <row r="11" spans="2:6" outlineLevel="1" x14ac:dyDescent="0.3">
      <c r="B11" s="610"/>
      <c r="C11" s="610" t="s">
        <v>628</v>
      </c>
      <c r="D11" s="605">
        <v>6000</v>
      </c>
      <c r="E11" s="615">
        <v>4500</v>
      </c>
      <c r="F11" s="615">
        <v>6000</v>
      </c>
    </row>
    <row r="12" spans="2:6" outlineLevel="1" x14ac:dyDescent="0.3">
      <c r="B12" s="610"/>
      <c r="C12" s="610" t="s">
        <v>629</v>
      </c>
      <c r="D12" s="605">
        <v>3000</v>
      </c>
      <c r="E12" s="615">
        <v>2500</v>
      </c>
      <c r="F12" s="615">
        <v>3000</v>
      </c>
    </row>
    <row r="13" spans="2:6" outlineLevel="1" x14ac:dyDescent="0.3">
      <c r="B13" s="610"/>
      <c r="C13" s="610" t="s">
        <v>630</v>
      </c>
      <c r="D13" s="605">
        <v>2500</v>
      </c>
      <c r="E13" s="615">
        <v>1000</v>
      </c>
      <c r="F13" s="615">
        <v>2500</v>
      </c>
    </row>
    <row r="14" spans="2:6" outlineLevel="1" x14ac:dyDescent="0.3">
      <c r="B14" s="610"/>
      <c r="C14" s="610" t="s">
        <v>611</v>
      </c>
      <c r="D14" s="605">
        <v>3500</v>
      </c>
      <c r="E14" s="615">
        <v>2000</v>
      </c>
      <c r="F14" s="615">
        <v>3500</v>
      </c>
    </row>
    <row r="15" spans="2:6" outlineLevel="1" x14ac:dyDescent="0.3">
      <c r="B15" s="610"/>
      <c r="C15" s="610" t="s">
        <v>631</v>
      </c>
      <c r="D15" s="605">
        <v>8000</v>
      </c>
      <c r="E15" s="615">
        <v>7000</v>
      </c>
      <c r="F15" s="615">
        <v>8000</v>
      </c>
    </row>
    <row r="16" spans="2:6" outlineLevel="1" x14ac:dyDescent="0.3">
      <c r="B16" s="610"/>
      <c r="C16" s="610" t="s">
        <v>632</v>
      </c>
      <c r="D16" s="605">
        <v>11000</v>
      </c>
      <c r="E16" s="615">
        <v>9500</v>
      </c>
      <c r="F16" s="615">
        <v>11000</v>
      </c>
    </row>
    <row r="17" spans="2:6" x14ac:dyDescent="0.3">
      <c r="B17" s="611" t="s">
        <v>618</v>
      </c>
      <c r="C17" s="611"/>
      <c r="D17" s="609"/>
      <c r="E17" s="609"/>
      <c r="F17" s="609"/>
    </row>
    <row r="18" spans="2:6" ht="15" outlineLevel="1" thickBot="1" x14ac:dyDescent="0.35">
      <c r="B18" s="612"/>
      <c r="C18" s="612" t="s">
        <v>612</v>
      </c>
      <c r="D18" s="606">
        <v>61500</v>
      </c>
      <c r="E18" s="606">
        <v>50000</v>
      </c>
      <c r="F18" s="606">
        <v>65500</v>
      </c>
    </row>
    <row r="19" spans="2:6" x14ac:dyDescent="0.3">
      <c r="B19" t="s">
        <v>619</v>
      </c>
    </row>
    <row r="20" spans="2:6" x14ac:dyDescent="0.3">
      <c r="B20" t="s">
        <v>620</v>
      </c>
    </row>
    <row r="21" spans="2:6" x14ac:dyDescent="0.3">
      <c r="B21" t="s">
        <v>621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2C4C0-D483-4AA0-AF92-CEA1D46DABBA}">
  <dimension ref="A1:B5"/>
  <sheetViews>
    <sheetView workbookViewId="0">
      <selection activeCell="C19" sqref="C19"/>
    </sheetView>
  </sheetViews>
  <sheetFormatPr defaultColWidth="8.77734375" defaultRowHeight="23.4" x14ac:dyDescent="0.45"/>
  <cols>
    <col min="1" max="1" width="27.6640625" style="618" customWidth="1"/>
    <col min="2" max="2" width="21" style="618" customWidth="1"/>
    <col min="3" max="16384" width="8.77734375" style="618"/>
  </cols>
  <sheetData>
    <row r="1" spans="1:2" x14ac:dyDescent="0.45">
      <c r="A1" s="617" t="s">
        <v>633</v>
      </c>
      <c r="B1" s="618" t="s">
        <v>634</v>
      </c>
    </row>
    <row r="3" spans="1:2" x14ac:dyDescent="0.45">
      <c r="A3" s="617" t="s">
        <v>444</v>
      </c>
      <c r="B3" s="618" t="s">
        <v>612</v>
      </c>
    </row>
    <row r="4" spans="1:2" x14ac:dyDescent="0.45">
      <c r="A4" s="619" t="s">
        <v>614</v>
      </c>
      <c r="B4" s="618">
        <v>65500</v>
      </c>
    </row>
    <row r="5" spans="1:2" x14ac:dyDescent="0.45">
      <c r="A5" s="619" t="s">
        <v>613</v>
      </c>
      <c r="B5" s="618">
        <v>50000</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D8E16-2E70-493F-8172-3CCF106B0EAE}">
  <dimension ref="B1:I50"/>
  <sheetViews>
    <sheetView workbookViewId="0">
      <selection activeCell="C19" sqref="C19"/>
    </sheetView>
  </sheetViews>
  <sheetFormatPr defaultColWidth="8.77734375" defaultRowHeight="18.600000000000001" x14ac:dyDescent="0.3"/>
  <cols>
    <col min="1" max="1" width="8.77734375" style="631"/>
    <col min="2" max="2" width="18.5546875" style="642" customWidth="1"/>
    <col min="3" max="3" width="15.77734375" style="631" customWidth="1"/>
    <col min="4" max="4" width="14.21875" style="631" customWidth="1"/>
    <col min="5" max="5" width="12.77734375" style="631" customWidth="1"/>
    <col min="6" max="6" width="15.77734375" style="631" customWidth="1"/>
    <col min="7" max="7" width="17.109375" style="631" customWidth="1"/>
    <col min="8" max="8" width="12.21875" style="631" customWidth="1"/>
    <col min="9" max="9" width="12.77734375" style="631" customWidth="1"/>
    <col min="10" max="16384" width="8.77734375" style="631"/>
  </cols>
  <sheetData>
    <row r="1" spans="2:7" ht="19.8" x14ac:dyDescent="0.3">
      <c r="F1" s="632" t="s">
        <v>603</v>
      </c>
      <c r="G1" s="632" t="s">
        <v>640</v>
      </c>
    </row>
    <row r="2" spans="2:7" ht="19.8" x14ac:dyDescent="0.3">
      <c r="B2" s="736" t="s">
        <v>595</v>
      </c>
      <c r="C2" s="737"/>
      <c r="F2" s="633"/>
      <c r="G2" s="632">
        <f>C15</f>
        <v>50000</v>
      </c>
    </row>
    <row r="3" spans="2:7" ht="19.8" x14ac:dyDescent="0.3">
      <c r="B3" s="643" t="s">
        <v>596</v>
      </c>
      <c r="C3" s="632" t="s">
        <v>597</v>
      </c>
      <c r="F3" s="633">
        <v>2500</v>
      </c>
      <c r="G3" s="633">
        <f t="dataTable" ref="G3:G13" dt2D="0" dtr="0" r1="C9"/>
        <v>47000</v>
      </c>
    </row>
    <row r="4" spans="2:7" ht="19.8" x14ac:dyDescent="0.3">
      <c r="B4" s="644" t="s">
        <v>598</v>
      </c>
      <c r="C4" s="634">
        <v>6000</v>
      </c>
      <c r="F4" s="633">
        <v>3000</v>
      </c>
      <c r="G4" s="633">
        <v>47500</v>
      </c>
    </row>
    <row r="5" spans="2:7" ht="37.200000000000003" x14ac:dyDescent="0.3">
      <c r="B5" s="644" t="s">
        <v>599</v>
      </c>
      <c r="C5" s="634">
        <v>10000</v>
      </c>
      <c r="F5" s="633">
        <v>3500</v>
      </c>
      <c r="G5" s="633">
        <v>48000</v>
      </c>
    </row>
    <row r="6" spans="2:7" ht="19.8" x14ac:dyDescent="0.3">
      <c r="B6" s="644" t="s">
        <v>600</v>
      </c>
      <c r="C6" s="634">
        <v>3000</v>
      </c>
      <c r="F6" s="633">
        <v>4000</v>
      </c>
      <c r="G6" s="633">
        <v>48500</v>
      </c>
    </row>
    <row r="7" spans="2:7" ht="19.8" x14ac:dyDescent="0.3">
      <c r="B7" s="644" t="s">
        <v>601</v>
      </c>
      <c r="C7" s="634">
        <v>2500</v>
      </c>
      <c r="F7" s="633">
        <v>4500</v>
      </c>
      <c r="G7" s="633">
        <v>49000</v>
      </c>
    </row>
    <row r="8" spans="2:7" ht="19.8" x14ac:dyDescent="0.3">
      <c r="B8" s="644" t="s">
        <v>602</v>
      </c>
      <c r="C8" s="634">
        <v>2000</v>
      </c>
      <c r="F8" s="633">
        <v>5000</v>
      </c>
      <c r="G8" s="633">
        <v>49500</v>
      </c>
    </row>
    <row r="9" spans="2:7" ht="19.8" x14ac:dyDescent="0.3">
      <c r="B9" s="645" t="s">
        <v>603</v>
      </c>
      <c r="C9" s="633">
        <v>5499.9999999999991</v>
      </c>
      <c r="F9" s="633">
        <v>6000</v>
      </c>
      <c r="G9" s="633">
        <v>50500</v>
      </c>
    </row>
    <row r="10" spans="2:7" ht="19.8" x14ac:dyDescent="0.3">
      <c r="B10" s="644" t="s">
        <v>604</v>
      </c>
      <c r="C10" s="634">
        <v>4500</v>
      </c>
      <c r="F10" s="633">
        <v>7000</v>
      </c>
      <c r="G10" s="633">
        <v>51500</v>
      </c>
    </row>
    <row r="11" spans="2:7" ht="19.8" x14ac:dyDescent="0.3">
      <c r="B11" s="644" t="s">
        <v>605</v>
      </c>
      <c r="C11" s="634">
        <v>1000</v>
      </c>
      <c r="F11" s="633">
        <v>8000</v>
      </c>
      <c r="G11" s="633">
        <v>52500</v>
      </c>
    </row>
    <row r="12" spans="2:7" ht="19.8" x14ac:dyDescent="0.3">
      <c r="B12" s="644" t="s">
        <v>606</v>
      </c>
      <c r="C12" s="634">
        <v>2000</v>
      </c>
      <c r="F12" s="633">
        <v>9000</v>
      </c>
      <c r="G12" s="633">
        <v>53500</v>
      </c>
    </row>
    <row r="13" spans="2:7" ht="19.8" x14ac:dyDescent="0.3">
      <c r="B13" s="644" t="s">
        <v>607</v>
      </c>
      <c r="C13" s="634">
        <v>4000</v>
      </c>
      <c r="F13" s="633">
        <v>10000</v>
      </c>
      <c r="G13" s="633">
        <v>54500</v>
      </c>
    </row>
    <row r="14" spans="2:7" x14ac:dyDescent="0.3">
      <c r="B14" s="644" t="s">
        <v>608</v>
      </c>
      <c r="C14" s="634">
        <v>9500</v>
      </c>
    </row>
    <row r="15" spans="2:7" ht="19.8" x14ac:dyDescent="0.3">
      <c r="B15" s="643" t="s">
        <v>43</v>
      </c>
      <c r="C15" s="632">
        <f>SUM(C4:C14)</f>
        <v>50000</v>
      </c>
    </row>
    <row r="26" spans="2:7" ht="19.8" x14ac:dyDescent="0.3">
      <c r="B26" s="646" t="s">
        <v>37</v>
      </c>
      <c r="C26" s="635">
        <v>1000</v>
      </c>
      <c r="F26" s="636" t="s">
        <v>643</v>
      </c>
      <c r="G26" s="636" t="s">
        <v>645</v>
      </c>
    </row>
    <row r="27" spans="2:7" ht="19.8" x14ac:dyDescent="0.3">
      <c r="B27" s="646" t="s">
        <v>643</v>
      </c>
      <c r="C27" s="635">
        <v>20</v>
      </c>
      <c r="F27" s="638"/>
      <c r="G27" s="635">
        <f>C30</f>
        <v>20000</v>
      </c>
    </row>
    <row r="28" spans="2:7" ht="19.8" x14ac:dyDescent="0.3">
      <c r="B28" s="646" t="s">
        <v>437</v>
      </c>
      <c r="C28" s="635">
        <v>1</v>
      </c>
      <c r="F28" s="635">
        <v>10</v>
      </c>
      <c r="G28" s="635">
        <f t="dataTable" ref="G28:G36" dt2D="0" dtr="0" r1="C27"/>
        <v>10000</v>
      </c>
    </row>
    <row r="29" spans="2:7" ht="19.8" x14ac:dyDescent="0.3">
      <c r="B29" s="647"/>
      <c r="C29" s="637"/>
      <c r="F29" s="635">
        <v>30</v>
      </c>
      <c r="G29" s="635">
        <v>30000</v>
      </c>
    </row>
    <row r="30" spans="2:7" ht="19.8" x14ac:dyDescent="0.3">
      <c r="B30" s="646" t="s">
        <v>644</v>
      </c>
      <c r="C30" s="635">
        <f>PRODUCT(C26,C27,C28)</f>
        <v>20000</v>
      </c>
      <c r="F30" s="635">
        <v>40</v>
      </c>
      <c r="G30" s="635">
        <v>40000</v>
      </c>
    </row>
    <row r="31" spans="2:7" ht="19.8" x14ac:dyDescent="0.3">
      <c r="F31" s="633">
        <v>50</v>
      </c>
      <c r="G31" s="633">
        <v>50000</v>
      </c>
    </row>
    <row r="32" spans="2:7" ht="19.8" x14ac:dyDescent="0.3">
      <c r="F32" s="633">
        <v>60</v>
      </c>
      <c r="G32" s="633">
        <v>60000</v>
      </c>
    </row>
    <row r="33" spans="3:9" ht="19.8" x14ac:dyDescent="0.3">
      <c r="F33" s="633">
        <v>70</v>
      </c>
      <c r="G33" s="633">
        <v>70000</v>
      </c>
    </row>
    <row r="34" spans="3:9" ht="19.8" x14ac:dyDescent="0.3">
      <c r="F34" s="633">
        <v>80</v>
      </c>
      <c r="G34" s="633">
        <v>80000</v>
      </c>
    </row>
    <row r="35" spans="3:9" ht="19.8" x14ac:dyDescent="0.3">
      <c r="F35" s="633">
        <v>90</v>
      </c>
      <c r="G35" s="633">
        <v>90000</v>
      </c>
    </row>
    <row r="36" spans="3:9" ht="19.8" x14ac:dyDescent="0.3">
      <c r="F36" s="633">
        <v>100</v>
      </c>
      <c r="G36" s="633">
        <v>100000</v>
      </c>
    </row>
    <row r="40" spans="3:9" ht="19.8" x14ac:dyDescent="0.3">
      <c r="D40" s="641" t="s">
        <v>645</v>
      </c>
      <c r="E40" s="738" t="s">
        <v>437</v>
      </c>
      <c r="F40" s="738"/>
      <c r="G40" s="738"/>
      <c r="H40" s="738"/>
      <c r="I40" s="738"/>
    </row>
    <row r="41" spans="3:9" ht="19.8" x14ac:dyDescent="0.3">
      <c r="D41" s="640">
        <f>C30</f>
        <v>20000</v>
      </c>
      <c r="E41" s="640">
        <v>1</v>
      </c>
      <c r="F41" s="640">
        <v>2</v>
      </c>
      <c r="G41" s="640">
        <v>5</v>
      </c>
      <c r="H41" s="640">
        <v>7</v>
      </c>
      <c r="I41" s="640">
        <v>10</v>
      </c>
    </row>
    <row r="42" spans="3:9" ht="19.8" x14ac:dyDescent="0.3">
      <c r="C42" s="738" t="s">
        <v>643</v>
      </c>
      <c r="D42" s="639">
        <v>10</v>
      </c>
      <c r="E42" s="634">
        <f t="dataTable" ref="E42:I50" dt2D="1" dtr="1" r1="C28" r2="C27" ca="1"/>
        <v>10000</v>
      </c>
      <c r="F42" s="634">
        <v>20000</v>
      </c>
      <c r="G42" s="634">
        <v>50000</v>
      </c>
      <c r="H42" s="634">
        <v>70000</v>
      </c>
      <c r="I42" s="634">
        <v>100000</v>
      </c>
    </row>
    <row r="43" spans="3:9" ht="19.8" x14ac:dyDescent="0.3">
      <c r="C43" s="738"/>
      <c r="D43" s="639">
        <v>30</v>
      </c>
      <c r="E43" s="634">
        <v>30000</v>
      </c>
      <c r="F43" s="634">
        <v>60000</v>
      </c>
      <c r="G43" s="634">
        <v>150000</v>
      </c>
      <c r="H43" s="634">
        <v>210000</v>
      </c>
      <c r="I43" s="634">
        <v>300000</v>
      </c>
    </row>
    <row r="44" spans="3:9" ht="19.8" x14ac:dyDescent="0.3">
      <c r="C44" s="738"/>
      <c r="D44" s="639">
        <v>40</v>
      </c>
      <c r="E44" s="634">
        <v>40000</v>
      </c>
      <c r="F44" s="634">
        <v>80000</v>
      </c>
      <c r="G44" s="634">
        <v>200000</v>
      </c>
      <c r="H44" s="634">
        <v>280000</v>
      </c>
      <c r="I44" s="634">
        <v>400000</v>
      </c>
    </row>
    <row r="45" spans="3:9" ht="19.8" x14ac:dyDescent="0.3">
      <c r="C45" s="738"/>
      <c r="D45" s="639">
        <v>50</v>
      </c>
      <c r="E45" s="634">
        <v>50000</v>
      </c>
      <c r="F45" s="634">
        <v>100000</v>
      </c>
      <c r="G45" s="634">
        <v>250000</v>
      </c>
      <c r="H45" s="634">
        <v>350000</v>
      </c>
      <c r="I45" s="634">
        <v>500000</v>
      </c>
    </row>
    <row r="46" spans="3:9" ht="19.8" x14ac:dyDescent="0.3">
      <c r="C46" s="738"/>
      <c r="D46" s="639">
        <v>60</v>
      </c>
      <c r="E46" s="634">
        <v>60000</v>
      </c>
      <c r="F46" s="634">
        <v>120000</v>
      </c>
      <c r="G46" s="634">
        <v>300000</v>
      </c>
      <c r="H46" s="634">
        <v>420000</v>
      </c>
      <c r="I46" s="634">
        <v>600000</v>
      </c>
    </row>
    <row r="47" spans="3:9" ht="19.8" x14ac:dyDescent="0.3">
      <c r="C47" s="738"/>
      <c r="D47" s="639">
        <v>70</v>
      </c>
      <c r="E47" s="634">
        <v>70000</v>
      </c>
      <c r="F47" s="634">
        <v>140000</v>
      </c>
      <c r="G47" s="634">
        <v>350000</v>
      </c>
      <c r="H47" s="634">
        <v>490000</v>
      </c>
      <c r="I47" s="634">
        <v>700000</v>
      </c>
    </row>
    <row r="48" spans="3:9" ht="19.8" x14ac:dyDescent="0.3">
      <c r="C48" s="738"/>
      <c r="D48" s="639">
        <v>80</v>
      </c>
      <c r="E48" s="634">
        <v>80000</v>
      </c>
      <c r="F48" s="634">
        <v>160000</v>
      </c>
      <c r="G48" s="634">
        <v>400000</v>
      </c>
      <c r="H48" s="634">
        <v>560000</v>
      </c>
      <c r="I48" s="634">
        <v>800000</v>
      </c>
    </row>
    <row r="49" spans="3:9" ht="19.8" x14ac:dyDescent="0.3">
      <c r="C49" s="738"/>
      <c r="D49" s="639">
        <v>90</v>
      </c>
      <c r="E49" s="634">
        <v>90000</v>
      </c>
      <c r="F49" s="634">
        <v>180000</v>
      </c>
      <c r="G49" s="634">
        <v>450000</v>
      </c>
      <c r="H49" s="634">
        <v>630000</v>
      </c>
      <c r="I49" s="634">
        <v>900000</v>
      </c>
    </row>
    <row r="50" spans="3:9" ht="19.8" x14ac:dyDescent="0.3">
      <c r="C50" s="738"/>
      <c r="D50" s="639">
        <v>100</v>
      </c>
      <c r="E50" s="634">
        <v>100000</v>
      </c>
      <c r="F50" s="634">
        <v>200000</v>
      </c>
      <c r="G50" s="634">
        <v>500000</v>
      </c>
      <c r="H50" s="634">
        <v>700000</v>
      </c>
      <c r="I50" s="634">
        <v>1000000</v>
      </c>
    </row>
  </sheetData>
  <mergeCells count="3">
    <mergeCell ref="B2:C2"/>
    <mergeCell ref="E40:I40"/>
    <mergeCell ref="C42:C50"/>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CFEAD-AF72-460E-8251-A34B703ECC29}">
  <dimension ref="B2:C15"/>
  <sheetViews>
    <sheetView workbookViewId="0">
      <selection activeCell="C19" sqref="C19"/>
    </sheetView>
  </sheetViews>
  <sheetFormatPr defaultColWidth="8.77734375" defaultRowHeight="17.399999999999999" x14ac:dyDescent="0.3"/>
  <cols>
    <col min="1" max="1" width="8.77734375" style="624"/>
    <col min="2" max="2" width="22.77734375" style="624" customWidth="1"/>
    <col min="3" max="3" width="14.21875" style="624" customWidth="1"/>
    <col min="4" max="16384" width="8.77734375" style="624"/>
  </cols>
  <sheetData>
    <row r="2" spans="2:3" ht="18" x14ac:dyDescent="0.3">
      <c r="B2" s="739" t="s">
        <v>595</v>
      </c>
      <c r="C2" s="740"/>
    </row>
    <row r="3" spans="2:3" ht="18" x14ac:dyDescent="0.3">
      <c r="B3" s="623" t="s">
        <v>596</v>
      </c>
      <c r="C3" s="623" t="s">
        <v>597</v>
      </c>
    </row>
    <row r="4" spans="2:3" x14ac:dyDescent="0.3">
      <c r="B4" s="625" t="s">
        <v>598</v>
      </c>
      <c r="C4" s="625">
        <v>6000</v>
      </c>
    </row>
    <row r="5" spans="2:3" x14ac:dyDescent="0.3">
      <c r="B5" s="625" t="s">
        <v>599</v>
      </c>
      <c r="C5" s="625">
        <v>10000</v>
      </c>
    </row>
    <row r="6" spans="2:3" x14ac:dyDescent="0.3">
      <c r="B6" s="625" t="s">
        <v>600</v>
      </c>
      <c r="C6" s="625">
        <v>3000</v>
      </c>
    </row>
    <row r="7" spans="2:3" x14ac:dyDescent="0.3">
      <c r="B7" s="625" t="s">
        <v>601</v>
      </c>
      <c r="C7" s="625">
        <v>2500</v>
      </c>
    </row>
    <row r="8" spans="2:3" x14ac:dyDescent="0.3">
      <c r="B8" s="625" t="s">
        <v>602</v>
      </c>
      <c r="C8" s="625">
        <v>2000</v>
      </c>
    </row>
    <row r="9" spans="2:3" x14ac:dyDescent="0.3">
      <c r="B9" s="626" t="s">
        <v>603</v>
      </c>
      <c r="C9" s="626">
        <v>5499.9999999999991</v>
      </c>
    </row>
    <row r="10" spans="2:3" x14ac:dyDescent="0.3">
      <c r="B10" s="625" t="s">
        <v>604</v>
      </c>
      <c r="C10" s="625">
        <v>4500</v>
      </c>
    </row>
    <row r="11" spans="2:3" x14ac:dyDescent="0.3">
      <c r="B11" s="625" t="s">
        <v>605</v>
      </c>
      <c r="C11" s="625">
        <v>1000</v>
      </c>
    </row>
    <row r="12" spans="2:3" x14ac:dyDescent="0.3">
      <c r="B12" s="625" t="s">
        <v>606</v>
      </c>
      <c r="C12" s="625">
        <v>2000</v>
      </c>
    </row>
    <row r="13" spans="2:3" x14ac:dyDescent="0.3">
      <c r="B13" s="625" t="s">
        <v>607</v>
      </c>
      <c r="C13" s="625">
        <v>4000</v>
      </c>
    </row>
    <row r="14" spans="2:3" x14ac:dyDescent="0.3">
      <c r="B14" s="625" t="s">
        <v>608</v>
      </c>
      <c r="C14" s="625">
        <v>9500</v>
      </c>
    </row>
    <row r="15" spans="2:3" ht="18" x14ac:dyDescent="0.3">
      <c r="B15" s="627" t="s">
        <v>43</v>
      </c>
      <c r="C15" s="627">
        <f>SUM(C4:C14)</f>
        <v>50000</v>
      </c>
    </row>
  </sheetData>
  <mergeCells count="1">
    <mergeCell ref="B2:C2"/>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5525E-C5E4-428E-A72D-4B5681FBC628}">
  <dimension ref="B4:H8"/>
  <sheetViews>
    <sheetView workbookViewId="0">
      <selection activeCell="C19" sqref="C19"/>
    </sheetView>
  </sheetViews>
  <sheetFormatPr defaultColWidth="8.77734375" defaultRowHeight="19.5" customHeight="1" x14ac:dyDescent="0.3"/>
  <cols>
    <col min="1" max="1" width="8.77734375" style="620"/>
    <col min="2" max="2" width="22.109375" style="620" customWidth="1"/>
    <col min="3" max="3" width="15.6640625" style="620" customWidth="1"/>
    <col min="4" max="4" width="10.77734375" style="620" customWidth="1"/>
    <col min="5" max="5" width="11.5546875" style="620" customWidth="1"/>
    <col min="6" max="6" width="22.21875" style="620" customWidth="1"/>
    <col min="7" max="7" width="13.21875" style="620" customWidth="1"/>
    <col min="8" max="16384" width="8.77734375" style="620"/>
  </cols>
  <sheetData>
    <row r="4" spans="2:8" ht="19.5" customHeight="1" x14ac:dyDescent="0.3">
      <c r="B4" s="621" t="s">
        <v>635</v>
      </c>
      <c r="C4" s="622" t="s">
        <v>639</v>
      </c>
      <c r="F4" s="621" t="s">
        <v>635</v>
      </c>
      <c r="G4" s="622" t="s">
        <v>639</v>
      </c>
    </row>
    <row r="5" spans="2:8" ht="19.5" customHeight="1" x14ac:dyDescent="0.3">
      <c r="B5" s="621" t="s">
        <v>17</v>
      </c>
      <c r="C5" s="622">
        <v>100000</v>
      </c>
      <c r="F5" s="621" t="s">
        <v>17</v>
      </c>
      <c r="G5" s="622">
        <v>100000</v>
      </c>
    </row>
    <row r="6" spans="2:8" ht="19.5" customHeight="1" x14ac:dyDescent="0.3">
      <c r="B6" s="621" t="s">
        <v>636</v>
      </c>
      <c r="C6" s="622">
        <v>40000</v>
      </c>
      <c r="F6" s="621" t="s">
        <v>636</v>
      </c>
      <c r="G6" s="622">
        <v>40000</v>
      </c>
    </row>
    <row r="7" spans="2:8" ht="19.5" customHeight="1" x14ac:dyDescent="0.3">
      <c r="B7" s="621" t="s">
        <v>637</v>
      </c>
      <c r="C7" s="622">
        <v>39.956268512989439</v>
      </c>
      <c r="F7" s="621" t="s">
        <v>637</v>
      </c>
      <c r="G7" s="622">
        <v>39.956268512989439</v>
      </c>
    </row>
    <row r="8" spans="2:8" ht="19.5" customHeight="1" x14ac:dyDescent="0.3">
      <c r="B8" s="621" t="s">
        <v>638</v>
      </c>
      <c r="C8" s="622">
        <f>(C5-C6)/C7</f>
        <v>1501.6417256404841</v>
      </c>
      <c r="D8" s="630" t="s">
        <v>642</v>
      </c>
      <c r="F8" s="628" t="s">
        <v>638</v>
      </c>
      <c r="G8" s="629">
        <v>1500</v>
      </c>
      <c r="H8" s="630" t="s">
        <v>641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C5758-A55B-4C78-89F7-A7E9AADA66F1}">
  <dimension ref="A1:E8"/>
  <sheetViews>
    <sheetView workbookViewId="0">
      <selection activeCell="C19" sqref="C19"/>
    </sheetView>
  </sheetViews>
  <sheetFormatPr defaultColWidth="12.33203125" defaultRowHeight="18.45" customHeight="1" x14ac:dyDescent="0.3"/>
  <cols>
    <col min="1" max="1" width="15.77734375" style="650" customWidth="1"/>
    <col min="2" max="2" width="12.33203125" style="650"/>
    <col min="3" max="3" width="14.21875" style="650" customWidth="1"/>
    <col min="4" max="4" width="13.77734375" style="650" customWidth="1"/>
    <col min="5" max="16384" width="12.33203125" style="650"/>
  </cols>
  <sheetData>
    <row r="1" spans="1:5" ht="18.45" customHeight="1" x14ac:dyDescent="0.3">
      <c r="A1" s="648" t="s">
        <v>652</v>
      </c>
      <c r="B1" s="649" t="s">
        <v>0</v>
      </c>
      <c r="C1" s="649" t="s">
        <v>2</v>
      </c>
      <c r="D1" s="649" t="s">
        <v>4</v>
      </c>
      <c r="E1" s="649" t="s">
        <v>6</v>
      </c>
    </row>
    <row r="2" spans="1:5" ht="18.45" customHeight="1" x14ac:dyDescent="0.3">
      <c r="A2" s="649" t="s">
        <v>646</v>
      </c>
      <c r="B2" s="651">
        <v>200</v>
      </c>
      <c r="C2" s="651">
        <v>50</v>
      </c>
      <c r="D2" s="651">
        <v>200</v>
      </c>
      <c r="E2" s="651">
        <v>20</v>
      </c>
    </row>
    <row r="3" spans="1:5" ht="18.45" customHeight="1" x14ac:dyDescent="0.3">
      <c r="A3" s="649" t="s">
        <v>647</v>
      </c>
      <c r="B3" s="651">
        <v>300</v>
      </c>
      <c r="C3" s="651">
        <v>80</v>
      </c>
      <c r="D3" s="651">
        <v>300</v>
      </c>
      <c r="E3" s="651">
        <v>30</v>
      </c>
    </row>
    <row r="4" spans="1:5" ht="18.45" customHeight="1" x14ac:dyDescent="0.3">
      <c r="A4" s="649" t="s">
        <v>648</v>
      </c>
      <c r="B4" s="651">
        <v>600</v>
      </c>
      <c r="C4" s="651">
        <v>70</v>
      </c>
      <c r="D4" s="651">
        <v>700</v>
      </c>
      <c r="E4" s="651">
        <v>50</v>
      </c>
    </row>
    <row r="5" spans="1:5" ht="18.45" customHeight="1" x14ac:dyDescent="0.3">
      <c r="A5" s="649" t="s">
        <v>649</v>
      </c>
      <c r="B5" s="651">
        <v>400</v>
      </c>
      <c r="C5" s="651">
        <v>100</v>
      </c>
      <c r="D5" s="651">
        <v>900</v>
      </c>
      <c r="E5" s="651">
        <v>70</v>
      </c>
    </row>
    <row r="6" spans="1:5" ht="18.45" customHeight="1" x14ac:dyDescent="0.3">
      <c r="A6" s="649" t="s">
        <v>650</v>
      </c>
      <c r="B6" s="651">
        <v>700</v>
      </c>
      <c r="C6" s="651">
        <v>200</v>
      </c>
      <c r="D6" s="651">
        <v>1000</v>
      </c>
      <c r="E6" s="651">
        <v>90</v>
      </c>
    </row>
    <row r="7" spans="1:5" ht="18.45" customHeight="1" x14ac:dyDescent="0.3">
      <c r="A7" s="649" t="s">
        <v>651</v>
      </c>
      <c r="B7" s="651">
        <v>200</v>
      </c>
      <c r="C7" s="651">
        <v>80</v>
      </c>
      <c r="D7" s="651">
        <v>500</v>
      </c>
      <c r="E7" s="651">
        <v>100</v>
      </c>
    </row>
    <row r="8" spans="1:5" ht="18.45" customHeight="1" x14ac:dyDescent="0.3">
      <c r="A8" s="649" t="s">
        <v>43</v>
      </c>
      <c r="B8" s="651">
        <f t="shared" ref="B8:E8" si="0">SUM(B2:B7)</f>
        <v>2400</v>
      </c>
      <c r="C8" s="651">
        <f t="shared" si="0"/>
        <v>580</v>
      </c>
      <c r="D8" s="651">
        <f t="shared" si="0"/>
        <v>3600</v>
      </c>
      <c r="E8" s="651">
        <f t="shared" si="0"/>
        <v>360</v>
      </c>
    </row>
  </sheetData>
  <dataConsolidate/>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47D2E-1966-4DAA-A1F8-47DE287236AE}">
  <dimension ref="B1:F8"/>
  <sheetViews>
    <sheetView workbookViewId="0">
      <selection activeCell="C19" sqref="C19"/>
    </sheetView>
  </sheetViews>
  <sheetFormatPr defaultColWidth="12.6640625" defaultRowHeight="18" customHeight="1" x14ac:dyDescent="0.3"/>
  <cols>
    <col min="1" max="1" width="15.77734375" customWidth="1"/>
    <col min="2" max="2" width="13.5546875" customWidth="1"/>
    <col min="3" max="3" width="12.44140625" customWidth="1"/>
    <col min="4" max="4" width="11.33203125" customWidth="1"/>
    <col min="5" max="5" width="10.6640625" customWidth="1"/>
  </cols>
  <sheetData>
    <row r="1" spans="2:6" ht="18" customHeight="1" x14ac:dyDescent="0.3">
      <c r="B1" s="648" t="s">
        <v>652</v>
      </c>
      <c r="C1" s="649" t="s">
        <v>0</v>
      </c>
      <c r="D1" s="649" t="s">
        <v>2</v>
      </c>
      <c r="E1" s="649" t="s">
        <v>4</v>
      </c>
      <c r="F1" s="649" t="s">
        <v>6</v>
      </c>
    </row>
    <row r="2" spans="2:6" ht="18" customHeight="1" x14ac:dyDescent="0.3">
      <c r="B2" s="649" t="s">
        <v>646</v>
      </c>
      <c r="C2" s="651">
        <v>300</v>
      </c>
      <c r="D2" s="651">
        <v>100</v>
      </c>
      <c r="E2" s="651">
        <v>600</v>
      </c>
      <c r="F2" s="651">
        <v>100</v>
      </c>
    </row>
    <row r="3" spans="2:6" ht="18" customHeight="1" x14ac:dyDescent="0.3">
      <c r="B3" s="649" t="s">
        <v>647</v>
      </c>
      <c r="C3" s="651">
        <v>700</v>
      </c>
      <c r="D3" s="651">
        <v>90</v>
      </c>
      <c r="E3" s="651">
        <v>500</v>
      </c>
      <c r="F3" s="651">
        <v>60</v>
      </c>
    </row>
    <row r="4" spans="2:6" ht="18" customHeight="1" x14ac:dyDescent="0.3">
      <c r="B4" s="649" t="s">
        <v>648</v>
      </c>
      <c r="C4" s="651">
        <v>400</v>
      </c>
      <c r="D4" s="651">
        <v>70</v>
      </c>
      <c r="E4" s="651">
        <v>800</v>
      </c>
      <c r="F4" s="651">
        <v>70</v>
      </c>
    </row>
    <row r="5" spans="2:6" ht="18" customHeight="1" x14ac:dyDescent="0.3">
      <c r="B5" s="649" t="s">
        <v>649</v>
      </c>
      <c r="C5" s="651">
        <v>200</v>
      </c>
      <c r="D5" s="651">
        <v>60</v>
      </c>
      <c r="E5" s="651">
        <v>10</v>
      </c>
      <c r="F5" s="651">
        <v>80</v>
      </c>
    </row>
    <row r="6" spans="2:6" ht="18" customHeight="1" x14ac:dyDescent="0.3">
      <c r="B6" s="649" t="s">
        <v>650</v>
      </c>
      <c r="C6" s="651">
        <v>100</v>
      </c>
      <c r="D6" s="651">
        <v>50</v>
      </c>
      <c r="E6" s="651">
        <v>900</v>
      </c>
      <c r="F6" s="651">
        <v>90</v>
      </c>
    </row>
    <row r="7" spans="2:6" ht="18" customHeight="1" x14ac:dyDescent="0.3">
      <c r="B7" s="649" t="s">
        <v>651</v>
      </c>
      <c r="C7" s="651">
        <v>600</v>
      </c>
      <c r="D7" s="651">
        <v>90</v>
      </c>
      <c r="E7" s="651">
        <v>300</v>
      </c>
      <c r="F7" s="651">
        <v>100</v>
      </c>
    </row>
    <row r="8" spans="2:6" ht="18" customHeight="1" x14ac:dyDescent="0.3">
      <c r="B8" s="649" t="s">
        <v>43</v>
      </c>
      <c r="C8" s="651">
        <f t="shared" ref="C8:F8" si="0">SUM(C2:C7)</f>
        <v>2300</v>
      </c>
      <c r="D8" s="651">
        <f t="shared" si="0"/>
        <v>460</v>
      </c>
      <c r="E8" s="651">
        <f t="shared" si="0"/>
        <v>3110</v>
      </c>
      <c r="F8" s="651">
        <f t="shared" si="0"/>
        <v>500</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4F36B-FF97-4972-A349-061C0D597DC3}">
  <dimension ref="A3:E10"/>
  <sheetViews>
    <sheetView workbookViewId="0">
      <selection activeCell="C19" sqref="C19"/>
    </sheetView>
  </sheetViews>
  <sheetFormatPr defaultColWidth="12.21875" defaultRowHeight="19.05" customHeight="1" x14ac:dyDescent="0.3"/>
  <cols>
    <col min="1" max="1" width="15.44140625" customWidth="1"/>
    <col min="4" max="4" width="12.44140625" customWidth="1"/>
    <col min="6" max="6" width="13.88671875" customWidth="1"/>
    <col min="7" max="7" width="14.44140625" bestFit="1" customWidth="1"/>
  </cols>
  <sheetData>
    <row r="3" spans="1:5" ht="19.05" customHeight="1" x14ac:dyDescent="0.3">
      <c r="A3" s="648" t="s">
        <v>652</v>
      </c>
      <c r="B3" s="649" t="s">
        <v>0</v>
      </c>
      <c r="C3" s="649" t="s">
        <v>2</v>
      </c>
      <c r="D3" s="649" t="s">
        <v>4</v>
      </c>
      <c r="E3" s="649" t="s">
        <v>6</v>
      </c>
    </row>
    <row r="4" spans="1:5" ht="19.05" customHeight="1" x14ac:dyDescent="0.3">
      <c r="A4" s="649" t="s">
        <v>646</v>
      </c>
      <c r="B4" s="651">
        <v>60</v>
      </c>
      <c r="C4" s="651">
        <v>10</v>
      </c>
      <c r="D4" s="651">
        <v>60</v>
      </c>
      <c r="E4" s="651">
        <v>200</v>
      </c>
    </row>
    <row r="5" spans="1:5" ht="19.05" customHeight="1" x14ac:dyDescent="0.3">
      <c r="A5" s="649" t="s">
        <v>647</v>
      </c>
      <c r="B5" s="651">
        <v>70</v>
      </c>
      <c r="C5" s="651">
        <v>40</v>
      </c>
      <c r="D5" s="651">
        <v>300</v>
      </c>
      <c r="E5" s="651">
        <v>300</v>
      </c>
    </row>
    <row r="6" spans="1:5" ht="19.05" customHeight="1" x14ac:dyDescent="0.3">
      <c r="A6" s="649" t="s">
        <v>648</v>
      </c>
      <c r="B6" s="651">
        <v>90</v>
      </c>
      <c r="C6" s="651">
        <v>70</v>
      </c>
      <c r="D6" s="651">
        <v>500</v>
      </c>
      <c r="E6" s="651">
        <v>500</v>
      </c>
    </row>
    <row r="7" spans="1:5" ht="19.05" customHeight="1" x14ac:dyDescent="0.3">
      <c r="A7" s="649" t="s">
        <v>649</v>
      </c>
      <c r="B7" s="651">
        <v>100</v>
      </c>
      <c r="C7" s="651">
        <v>80</v>
      </c>
      <c r="D7" s="651">
        <v>800</v>
      </c>
      <c r="E7" s="651">
        <v>800</v>
      </c>
    </row>
    <row r="8" spans="1:5" ht="19.05" customHeight="1" x14ac:dyDescent="0.3">
      <c r="A8" s="649" t="s">
        <v>650</v>
      </c>
      <c r="B8" s="651">
        <v>50</v>
      </c>
      <c r="C8" s="651">
        <v>60</v>
      </c>
      <c r="D8" s="651">
        <v>900</v>
      </c>
      <c r="E8" s="651">
        <v>700</v>
      </c>
    </row>
    <row r="9" spans="1:5" ht="19.05" customHeight="1" x14ac:dyDescent="0.3">
      <c r="A9" s="649" t="s">
        <v>651</v>
      </c>
      <c r="B9" s="651">
        <v>80</v>
      </c>
      <c r="C9" s="651">
        <v>30</v>
      </c>
      <c r="D9" s="651">
        <v>70</v>
      </c>
      <c r="E9" s="651">
        <v>60</v>
      </c>
    </row>
    <row r="10" spans="1:5" ht="19.05" customHeight="1" x14ac:dyDescent="0.3">
      <c r="A10" s="649" t="s">
        <v>43</v>
      </c>
      <c r="B10" s="651">
        <f t="shared" ref="B10:E10" si="0">SUM(B4:B9)</f>
        <v>450</v>
      </c>
      <c r="C10" s="651">
        <f t="shared" si="0"/>
        <v>290</v>
      </c>
      <c r="D10" s="651">
        <f t="shared" si="0"/>
        <v>2630</v>
      </c>
      <c r="E10" s="651">
        <f t="shared" si="0"/>
        <v>2560</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8D7C-6DCB-49ED-B37D-CEB9AAA3671B}">
  <dimension ref="C1:G8"/>
  <sheetViews>
    <sheetView workbookViewId="0">
      <selection activeCell="C19" sqref="C19"/>
    </sheetView>
  </sheetViews>
  <sheetFormatPr defaultColWidth="12.77734375" defaultRowHeight="18" customHeight="1" x14ac:dyDescent="0.3"/>
  <cols>
    <col min="1" max="1" width="15.77734375" customWidth="1"/>
    <col min="2" max="2" width="13" customWidth="1"/>
    <col min="3" max="3" width="14" customWidth="1"/>
    <col min="4" max="4" width="14.33203125" customWidth="1"/>
  </cols>
  <sheetData>
    <row r="1" spans="3:7" ht="18" customHeight="1" x14ac:dyDescent="0.3">
      <c r="C1" s="648" t="s">
        <v>652</v>
      </c>
      <c r="D1" s="649" t="s">
        <v>0</v>
      </c>
      <c r="E1" s="649" t="s">
        <v>2</v>
      </c>
      <c r="F1" s="649" t="s">
        <v>4</v>
      </c>
      <c r="G1" s="649" t="s">
        <v>6</v>
      </c>
    </row>
    <row r="2" spans="3:7" ht="18" customHeight="1" x14ac:dyDescent="0.3">
      <c r="C2" s="649" t="s">
        <v>646</v>
      </c>
      <c r="D2" s="651">
        <v>100</v>
      </c>
      <c r="E2" s="651">
        <v>50</v>
      </c>
      <c r="F2" s="651">
        <v>200</v>
      </c>
      <c r="G2" s="651">
        <v>10</v>
      </c>
    </row>
    <row r="3" spans="3:7" ht="18" customHeight="1" x14ac:dyDescent="0.3">
      <c r="C3" s="649" t="s">
        <v>647</v>
      </c>
      <c r="D3" s="651">
        <v>500</v>
      </c>
      <c r="E3" s="651">
        <v>80</v>
      </c>
      <c r="F3" s="651">
        <v>300</v>
      </c>
      <c r="G3" s="651">
        <v>20</v>
      </c>
    </row>
    <row r="4" spans="3:7" ht="18" customHeight="1" x14ac:dyDescent="0.3">
      <c r="C4" s="649" t="s">
        <v>648</v>
      </c>
      <c r="D4" s="651">
        <v>600</v>
      </c>
      <c r="E4" s="651">
        <v>70</v>
      </c>
      <c r="F4" s="651">
        <v>700</v>
      </c>
      <c r="G4" s="651">
        <v>30</v>
      </c>
    </row>
    <row r="5" spans="3:7" ht="18" customHeight="1" x14ac:dyDescent="0.3">
      <c r="C5" s="649" t="s">
        <v>649</v>
      </c>
      <c r="D5" s="651">
        <v>400</v>
      </c>
      <c r="E5" s="651">
        <v>100</v>
      </c>
      <c r="F5" s="651">
        <v>900</v>
      </c>
      <c r="G5" s="651">
        <v>40</v>
      </c>
    </row>
    <row r="6" spans="3:7" ht="18" customHeight="1" x14ac:dyDescent="0.3">
      <c r="C6" s="649" t="s">
        <v>650</v>
      </c>
      <c r="D6" s="651">
        <v>700</v>
      </c>
      <c r="E6" s="651">
        <v>200</v>
      </c>
      <c r="F6" s="651">
        <v>1000</v>
      </c>
      <c r="G6" s="651">
        <v>50</v>
      </c>
    </row>
    <row r="7" spans="3:7" ht="18" customHeight="1" x14ac:dyDescent="0.3">
      <c r="C7" s="649" t="s">
        <v>651</v>
      </c>
      <c r="D7" s="651">
        <v>200</v>
      </c>
      <c r="E7" s="651">
        <v>80</v>
      </c>
      <c r="F7" s="651">
        <v>500</v>
      </c>
      <c r="G7" s="651">
        <v>60</v>
      </c>
    </row>
    <row r="8" spans="3:7" ht="18" customHeight="1" x14ac:dyDescent="0.3">
      <c r="C8" s="649" t="s">
        <v>43</v>
      </c>
      <c r="D8" s="651">
        <f t="shared" ref="D8:G8" si="0">SUM(D2:D7)</f>
        <v>2500</v>
      </c>
      <c r="E8" s="651">
        <f t="shared" si="0"/>
        <v>580</v>
      </c>
      <c r="F8" s="651">
        <f t="shared" si="0"/>
        <v>3600</v>
      </c>
      <c r="G8" s="651">
        <f t="shared" si="0"/>
        <v>210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71E9C-33D0-4E07-8B43-E76AEA07BABB}">
  <dimension ref="B2:I37"/>
  <sheetViews>
    <sheetView workbookViewId="0">
      <selection activeCell="C19" sqref="C19"/>
    </sheetView>
  </sheetViews>
  <sheetFormatPr defaultColWidth="13" defaultRowHeight="14.4" outlineLevelRow="1" x14ac:dyDescent="0.3"/>
  <cols>
    <col min="1" max="1" width="13" style="109"/>
    <col min="2" max="2" width="13.6640625" style="109" customWidth="1"/>
    <col min="3" max="3" width="6.44140625" style="109" customWidth="1"/>
    <col min="4" max="5" width="11.77734375" style="109" customWidth="1"/>
    <col min="6" max="6" width="11.109375" style="109" customWidth="1"/>
    <col min="7" max="7" width="11.21875" style="109" customWidth="1"/>
    <col min="8" max="16384" width="13" style="109"/>
  </cols>
  <sheetData>
    <row r="2" spans="2:9" ht="18" x14ac:dyDescent="0.3">
      <c r="B2" s="623"/>
      <c r="C2" s="623"/>
      <c r="D2" s="623" t="s">
        <v>0</v>
      </c>
      <c r="E2" s="623" t="s">
        <v>2</v>
      </c>
      <c r="F2" s="623" t="s">
        <v>4</v>
      </c>
      <c r="G2" s="623" t="s">
        <v>6</v>
      </c>
    </row>
    <row r="3" spans="2:9" ht="18" hidden="1" outlineLevel="1" x14ac:dyDescent="0.3">
      <c r="B3" s="623"/>
      <c r="C3" s="652" t="s">
        <v>653</v>
      </c>
      <c r="D3" s="652">
        <f>'Sales - 2021'!$B$2</f>
        <v>200</v>
      </c>
      <c r="E3" s="652">
        <f>'Sales - 2021'!$C$2</f>
        <v>50</v>
      </c>
      <c r="F3" s="652">
        <f>'Sales - 2021'!$D$2</f>
        <v>200</v>
      </c>
      <c r="G3" s="652">
        <f>'Sales - 2021'!$E$2</f>
        <v>20</v>
      </c>
    </row>
    <row r="4" spans="2:9" ht="18" hidden="1" outlineLevel="1" collapsed="1" x14ac:dyDescent="0.3">
      <c r="B4" s="623"/>
      <c r="C4" s="652" t="s">
        <v>653</v>
      </c>
      <c r="D4" s="652">
        <f>'Sales - 2022'!$C$2</f>
        <v>300</v>
      </c>
      <c r="E4" s="652">
        <f>'Sales - 2022'!$D$2</f>
        <v>100</v>
      </c>
      <c r="F4" s="652">
        <f>'Sales - 2022'!$E$2</f>
        <v>600</v>
      </c>
      <c r="G4" s="652">
        <f>'Sales - 2022'!$F$2</f>
        <v>100</v>
      </c>
    </row>
    <row r="5" spans="2:9" ht="18" hidden="1" outlineLevel="1" collapsed="1" x14ac:dyDescent="0.3">
      <c r="B5" s="623"/>
      <c r="C5" s="652" t="s">
        <v>653</v>
      </c>
      <c r="D5" s="652">
        <f>'Sales - 2023'!$B$4</f>
        <v>60</v>
      </c>
      <c r="E5" s="652">
        <f>'Sales - 2023'!$C$4</f>
        <v>10</v>
      </c>
      <c r="F5" s="652">
        <f>'Sales - 2023'!$D$4</f>
        <v>60</v>
      </c>
      <c r="G5" s="652">
        <f>'Sales - 2023'!$E$4</f>
        <v>200</v>
      </c>
    </row>
    <row r="6" spans="2:9" ht="18" hidden="1" outlineLevel="1" collapsed="1" x14ac:dyDescent="0.3">
      <c r="B6" s="623"/>
      <c r="C6" s="652" t="s">
        <v>653</v>
      </c>
      <c r="D6" s="652">
        <f>'Sales - 2024'!$D$2</f>
        <v>100</v>
      </c>
      <c r="E6" s="652">
        <f>'Sales - 2024'!$E$2</f>
        <v>50</v>
      </c>
      <c r="F6" s="652">
        <f>'Sales - 2024'!$F$2</f>
        <v>200</v>
      </c>
      <c r="G6" s="652">
        <f>'Sales - 2024'!$G$2</f>
        <v>10</v>
      </c>
    </row>
    <row r="7" spans="2:9" ht="18" collapsed="1" x14ac:dyDescent="0.3">
      <c r="B7" s="623" t="s">
        <v>646</v>
      </c>
      <c r="C7" s="652"/>
      <c r="D7" s="652">
        <f>SUM(D3:D6)</f>
        <v>660</v>
      </c>
      <c r="E7" s="652">
        <f>SUM(E3:E6)</f>
        <v>210</v>
      </c>
      <c r="F7" s="652">
        <f>SUM(F3:F6)</f>
        <v>1060</v>
      </c>
      <c r="G7" s="652">
        <f>SUM(G3:G6)</f>
        <v>330</v>
      </c>
      <c r="I7" s="109">
        <f>TYPE(D7)</f>
        <v>1</v>
      </c>
    </row>
    <row r="8" spans="2:9" ht="18" hidden="1" outlineLevel="1" x14ac:dyDescent="0.3">
      <c r="B8" s="623"/>
      <c r="C8" s="652" t="s">
        <v>653</v>
      </c>
      <c r="D8" s="652">
        <f>'Sales - 2021'!$B$3</f>
        <v>300</v>
      </c>
      <c r="E8" s="652">
        <f>'Sales - 2021'!$C$3</f>
        <v>80</v>
      </c>
      <c r="F8" s="652">
        <f>'Sales - 2021'!$D$3</f>
        <v>300</v>
      </c>
      <c r="G8" s="652">
        <f>'Sales - 2021'!$E$3</f>
        <v>30</v>
      </c>
    </row>
    <row r="9" spans="2:9" ht="18" hidden="1" outlineLevel="1" collapsed="1" x14ac:dyDescent="0.3">
      <c r="B9" s="623"/>
      <c r="C9" s="652" t="s">
        <v>653</v>
      </c>
      <c r="D9" s="652">
        <f>'Sales - 2022'!$C$3</f>
        <v>700</v>
      </c>
      <c r="E9" s="652">
        <f>'Sales - 2022'!$D$3</f>
        <v>90</v>
      </c>
      <c r="F9" s="652">
        <f>'Sales - 2022'!$E$3</f>
        <v>500</v>
      </c>
      <c r="G9" s="652">
        <f>'Sales - 2022'!$F$3</f>
        <v>60</v>
      </c>
    </row>
    <row r="10" spans="2:9" ht="18" hidden="1" outlineLevel="1" collapsed="1" x14ac:dyDescent="0.3">
      <c r="B10" s="623"/>
      <c r="C10" s="652" t="s">
        <v>653</v>
      </c>
      <c r="D10" s="652">
        <f>'Sales - 2023'!$B$5</f>
        <v>70</v>
      </c>
      <c r="E10" s="652">
        <f>'Sales - 2023'!$C$5</f>
        <v>40</v>
      </c>
      <c r="F10" s="652">
        <f>'Sales - 2023'!$D$5</f>
        <v>300</v>
      </c>
      <c r="G10" s="652">
        <f>'Sales - 2023'!$E$5</f>
        <v>300</v>
      </c>
    </row>
    <row r="11" spans="2:9" ht="18" hidden="1" outlineLevel="1" collapsed="1" x14ac:dyDescent="0.3">
      <c r="B11" s="623"/>
      <c r="C11" s="652" t="s">
        <v>653</v>
      </c>
      <c r="D11" s="652">
        <f>'Sales - 2024'!$D$3</f>
        <v>500</v>
      </c>
      <c r="E11" s="652">
        <f>'Sales - 2024'!$E$3</f>
        <v>80</v>
      </c>
      <c r="F11" s="652">
        <f>'Sales - 2024'!$F$3</f>
        <v>300</v>
      </c>
      <c r="G11" s="652">
        <f>'Sales - 2024'!$G$3</f>
        <v>20</v>
      </c>
    </row>
    <row r="12" spans="2:9" ht="18" collapsed="1" x14ac:dyDescent="0.3">
      <c r="B12" s="623" t="s">
        <v>647</v>
      </c>
      <c r="C12" s="652"/>
      <c r="D12" s="652">
        <f>SUM(D8:D11)</f>
        <v>1570</v>
      </c>
      <c r="E12" s="652">
        <f>SUM(E8:E11)</f>
        <v>290</v>
      </c>
      <c r="F12" s="652">
        <f>SUM(F8:F11)</f>
        <v>1400</v>
      </c>
      <c r="G12" s="652">
        <f>SUM(G8:G11)</f>
        <v>410</v>
      </c>
    </row>
    <row r="13" spans="2:9" ht="18" hidden="1" outlineLevel="1" x14ac:dyDescent="0.3">
      <c r="B13" s="623"/>
      <c r="C13" s="652" t="s">
        <v>653</v>
      </c>
      <c r="D13" s="652">
        <f>'Sales - 2021'!$B$4</f>
        <v>600</v>
      </c>
      <c r="E13" s="652">
        <f>'Sales - 2021'!$C$4</f>
        <v>70</v>
      </c>
      <c r="F13" s="652">
        <f>'Sales - 2021'!$D$4</f>
        <v>700</v>
      </c>
      <c r="G13" s="652">
        <f>'Sales - 2021'!$E$4</f>
        <v>50</v>
      </c>
    </row>
    <row r="14" spans="2:9" ht="18" hidden="1" outlineLevel="1" collapsed="1" x14ac:dyDescent="0.3">
      <c r="B14" s="623"/>
      <c r="C14" s="652" t="s">
        <v>653</v>
      </c>
      <c r="D14" s="652">
        <f>'Sales - 2022'!$C$4</f>
        <v>400</v>
      </c>
      <c r="E14" s="652">
        <f>'Sales - 2022'!$D$4</f>
        <v>70</v>
      </c>
      <c r="F14" s="652">
        <f>'Sales - 2022'!$E$4</f>
        <v>800</v>
      </c>
      <c r="G14" s="652">
        <f>'Sales - 2022'!$F$4</f>
        <v>70</v>
      </c>
    </row>
    <row r="15" spans="2:9" ht="18" hidden="1" outlineLevel="1" collapsed="1" x14ac:dyDescent="0.3">
      <c r="B15" s="623"/>
      <c r="C15" s="652" t="s">
        <v>653</v>
      </c>
      <c r="D15" s="652">
        <f>'Sales - 2023'!$B$6</f>
        <v>90</v>
      </c>
      <c r="E15" s="652">
        <f>'Sales - 2023'!$C$6</f>
        <v>70</v>
      </c>
      <c r="F15" s="652">
        <f>'Sales - 2023'!$D$6</f>
        <v>500</v>
      </c>
      <c r="G15" s="652">
        <f>'Sales - 2023'!$E$6</f>
        <v>500</v>
      </c>
    </row>
    <row r="16" spans="2:9" ht="18" hidden="1" outlineLevel="1" collapsed="1" x14ac:dyDescent="0.3">
      <c r="B16" s="623"/>
      <c r="C16" s="652" t="s">
        <v>653</v>
      </c>
      <c r="D16" s="652">
        <f>'Sales - 2024'!$D$4</f>
        <v>600</v>
      </c>
      <c r="E16" s="652">
        <f>'Sales - 2024'!$E$4</f>
        <v>70</v>
      </c>
      <c r="F16" s="652">
        <f>'Sales - 2024'!$F$4</f>
        <v>700</v>
      </c>
      <c r="G16" s="652">
        <f>'Sales - 2024'!$G$4</f>
        <v>30</v>
      </c>
    </row>
    <row r="17" spans="2:7" ht="18" collapsed="1" x14ac:dyDescent="0.3">
      <c r="B17" s="623" t="s">
        <v>648</v>
      </c>
      <c r="C17" s="652"/>
      <c r="D17" s="652">
        <f>SUM(D13:D16)</f>
        <v>1690</v>
      </c>
      <c r="E17" s="652">
        <f>SUM(E13:E16)</f>
        <v>280</v>
      </c>
      <c r="F17" s="652">
        <f>SUM(F13:F16)</f>
        <v>2700</v>
      </c>
      <c r="G17" s="652">
        <f>SUM(G13:G16)</f>
        <v>650</v>
      </c>
    </row>
    <row r="18" spans="2:7" ht="18" hidden="1" outlineLevel="1" x14ac:dyDescent="0.3">
      <c r="B18" s="623"/>
      <c r="C18" s="652" t="s">
        <v>653</v>
      </c>
      <c r="D18" s="652">
        <f>'Sales - 2021'!$B$5</f>
        <v>400</v>
      </c>
      <c r="E18" s="652">
        <f>'Sales - 2021'!$C$5</f>
        <v>100</v>
      </c>
      <c r="F18" s="652">
        <f>'Sales - 2021'!$D$5</f>
        <v>900</v>
      </c>
      <c r="G18" s="652">
        <f>'Sales - 2021'!$E$5</f>
        <v>70</v>
      </c>
    </row>
    <row r="19" spans="2:7" ht="18" hidden="1" outlineLevel="1" collapsed="1" x14ac:dyDescent="0.3">
      <c r="B19" s="623"/>
      <c r="C19" s="652" t="s">
        <v>653</v>
      </c>
      <c r="D19" s="652">
        <f>'Sales - 2022'!$C$5</f>
        <v>200</v>
      </c>
      <c r="E19" s="652">
        <f>'Sales - 2022'!$D$5</f>
        <v>60</v>
      </c>
      <c r="F19" s="652">
        <f>'Sales - 2022'!$E$5</f>
        <v>10</v>
      </c>
      <c r="G19" s="652">
        <f>'Sales - 2022'!$F$5</f>
        <v>80</v>
      </c>
    </row>
    <row r="20" spans="2:7" ht="18" hidden="1" outlineLevel="1" collapsed="1" x14ac:dyDescent="0.3">
      <c r="B20" s="623"/>
      <c r="C20" s="652" t="s">
        <v>653</v>
      </c>
      <c r="D20" s="652">
        <f>'Sales - 2023'!$B$7</f>
        <v>100</v>
      </c>
      <c r="E20" s="652">
        <f>'Sales - 2023'!$C$7</f>
        <v>80</v>
      </c>
      <c r="F20" s="652">
        <f>'Sales - 2023'!$D$7</f>
        <v>800</v>
      </c>
      <c r="G20" s="652">
        <f>'Sales - 2023'!$E$7</f>
        <v>800</v>
      </c>
    </row>
    <row r="21" spans="2:7" ht="18" hidden="1" outlineLevel="1" collapsed="1" x14ac:dyDescent="0.3">
      <c r="B21" s="623"/>
      <c r="C21" s="652" t="s">
        <v>653</v>
      </c>
      <c r="D21" s="652">
        <f>'Sales - 2024'!$D$5</f>
        <v>400</v>
      </c>
      <c r="E21" s="652">
        <f>'Sales - 2024'!$E$5</f>
        <v>100</v>
      </c>
      <c r="F21" s="652">
        <f>'Sales - 2024'!$F$5</f>
        <v>900</v>
      </c>
      <c r="G21" s="652">
        <f>'Sales - 2024'!$G$5</f>
        <v>40</v>
      </c>
    </row>
    <row r="22" spans="2:7" ht="18" collapsed="1" x14ac:dyDescent="0.3">
      <c r="B22" s="623" t="s">
        <v>649</v>
      </c>
      <c r="C22" s="652"/>
      <c r="D22" s="652">
        <f>SUM(D18:D21)</f>
        <v>1100</v>
      </c>
      <c r="E22" s="652">
        <f>SUM(E18:E21)</f>
        <v>340</v>
      </c>
      <c r="F22" s="652">
        <f>SUM(F18:F21)</f>
        <v>2610</v>
      </c>
      <c r="G22" s="652">
        <f>SUM(G18:G21)</f>
        <v>990</v>
      </c>
    </row>
    <row r="23" spans="2:7" ht="18" hidden="1" outlineLevel="1" x14ac:dyDescent="0.3">
      <c r="B23" s="623"/>
      <c r="C23" s="652" t="s">
        <v>653</v>
      </c>
      <c r="D23" s="652">
        <f>'Sales - 2021'!$B$6</f>
        <v>700</v>
      </c>
      <c r="E23" s="652">
        <f>'Sales - 2021'!$C$6</f>
        <v>200</v>
      </c>
      <c r="F23" s="652">
        <f>'Sales - 2021'!$D$6</f>
        <v>1000</v>
      </c>
      <c r="G23" s="652">
        <f>'Sales - 2021'!$E$6</f>
        <v>90</v>
      </c>
    </row>
    <row r="24" spans="2:7" ht="18" hidden="1" outlineLevel="1" collapsed="1" x14ac:dyDescent="0.3">
      <c r="B24" s="623"/>
      <c r="C24" s="652" t="s">
        <v>653</v>
      </c>
      <c r="D24" s="652">
        <f>'Sales - 2022'!$C$6</f>
        <v>100</v>
      </c>
      <c r="E24" s="652">
        <f>'Sales - 2022'!$D$6</f>
        <v>50</v>
      </c>
      <c r="F24" s="652">
        <f>'Sales - 2022'!$E$6</f>
        <v>900</v>
      </c>
      <c r="G24" s="652">
        <f>'Sales - 2022'!$F$6</f>
        <v>90</v>
      </c>
    </row>
    <row r="25" spans="2:7" ht="18" hidden="1" outlineLevel="1" collapsed="1" x14ac:dyDescent="0.3">
      <c r="B25" s="623"/>
      <c r="C25" s="652" t="s">
        <v>653</v>
      </c>
      <c r="D25" s="652">
        <f>'Sales - 2023'!$B$8</f>
        <v>50</v>
      </c>
      <c r="E25" s="652">
        <f>'Sales - 2023'!$C$8</f>
        <v>60</v>
      </c>
      <c r="F25" s="652">
        <f>'Sales - 2023'!$D$8</f>
        <v>900</v>
      </c>
      <c r="G25" s="652">
        <f>'Sales - 2023'!$E$8</f>
        <v>700</v>
      </c>
    </row>
    <row r="26" spans="2:7" ht="18" hidden="1" outlineLevel="1" collapsed="1" x14ac:dyDescent="0.3">
      <c r="B26" s="623"/>
      <c r="C26" s="652" t="s">
        <v>653</v>
      </c>
      <c r="D26" s="652">
        <f>'Sales - 2024'!$D$6</f>
        <v>700</v>
      </c>
      <c r="E26" s="652">
        <f>'Sales - 2024'!$E$6</f>
        <v>200</v>
      </c>
      <c r="F26" s="652">
        <f>'Sales - 2024'!$F$6</f>
        <v>1000</v>
      </c>
      <c r="G26" s="652">
        <f>'Sales - 2024'!$G$6</f>
        <v>50</v>
      </c>
    </row>
    <row r="27" spans="2:7" ht="18" collapsed="1" x14ac:dyDescent="0.3">
      <c r="B27" s="623" t="s">
        <v>650</v>
      </c>
      <c r="C27" s="652"/>
      <c r="D27" s="652">
        <f>SUM(D23:D26)</f>
        <v>1550</v>
      </c>
      <c r="E27" s="652">
        <f>SUM(E23:E26)</f>
        <v>510</v>
      </c>
      <c r="F27" s="652">
        <f>SUM(F23:F26)</f>
        <v>3800</v>
      </c>
      <c r="G27" s="652">
        <f>SUM(G23:G26)</f>
        <v>930</v>
      </c>
    </row>
    <row r="28" spans="2:7" ht="18" hidden="1" outlineLevel="1" x14ac:dyDescent="0.3">
      <c r="B28" s="623"/>
      <c r="C28" s="652" t="s">
        <v>653</v>
      </c>
      <c r="D28" s="652">
        <f>'Sales - 2021'!$B$7</f>
        <v>200</v>
      </c>
      <c r="E28" s="652">
        <f>'Sales - 2021'!$C$7</f>
        <v>80</v>
      </c>
      <c r="F28" s="652">
        <f>'Sales - 2021'!$D$7</f>
        <v>500</v>
      </c>
      <c r="G28" s="652">
        <f>'Sales - 2021'!$E$7</f>
        <v>100</v>
      </c>
    </row>
    <row r="29" spans="2:7" ht="18" hidden="1" outlineLevel="1" collapsed="1" x14ac:dyDescent="0.3">
      <c r="B29" s="623"/>
      <c r="C29" s="652" t="s">
        <v>653</v>
      </c>
      <c r="D29" s="652">
        <f>'Sales - 2022'!$C$7</f>
        <v>600</v>
      </c>
      <c r="E29" s="652">
        <f>'Sales - 2022'!$D$7</f>
        <v>90</v>
      </c>
      <c r="F29" s="652">
        <f>'Sales - 2022'!$E$7</f>
        <v>300</v>
      </c>
      <c r="G29" s="652">
        <f>'Sales - 2022'!$F$7</f>
        <v>100</v>
      </c>
    </row>
    <row r="30" spans="2:7" ht="18" hidden="1" outlineLevel="1" collapsed="1" x14ac:dyDescent="0.3">
      <c r="B30" s="623"/>
      <c r="C30" s="652" t="s">
        <v>653</v>
      </c>
      <c r="D30" s="652">
        <f>'Sales - 2023'!$B$9</f>
        <v>80</v>
      </c>
      <c r="E30" s="652">
        <f>'Sales - 2023'!$C$9</f>
        <v>30</v>
      </c>
      <c r="F30" s="652">
        <f>'Sales - 2023'!$D$9</f>
        <v>70</v>
      </c>
      <c r="G30" s="652">
        <f>'Sales - 2023'!$E$9</f>
        <v>60</v>
      </c>
    </row>
    <row r="31" spans="2:7" ht="18" hidden="1" outlineLevel="1" collapsed="1" x14ac:dyDescent="0.3">
      <c r="B31" s="623"/>
      <c r="C31" s="652" t="s">
        <v>653</v>
      </c>
      <c r="D31" s="652">
        <f>'Sales - 2024'!$D$7</f>
        <v>200</v>
      </c>
      <c r="E31" s="652">
        <f>'Sales - 2024'!$E$7</f>
        <v>80</v>
      </c>
      <c r="F31" s="652">
        <f>'Sales - 2024'!$F$7</f>
        <v>500</v>
      </c>
      <c r="G31" s="652">
        <f>'Sales - 2024'!$G$7</f>
        <v>60</v>
      </c>
    </row>
    <row r="32" spans="2:7" ht="18" collapsed="1" x14ac:dyDescent="0.3">
      <c r="B32" s="623" t="s">
        <v>651</v>
      </c>
      <c r="C32" s="652"/>
      <c r="D32" s="652">
        <f>SUM(D28:D31)</f>
        <v>1080</v>
      </c>
      <c r="E32" s="652">
        <f>SUM(E28:E31)</f>
        <v>280</v>
      </c>
      <c r="F32" s="652">
        <f>SUM(F28:F31)</f>
        <v>1370</v>
      </c>
      <c r="G32" s="652">
        <f>SUM(G28:G31)</f>
        <v>320</v>
      </c>
    </row>
    <row r="33" spans="2:7" ht="18" hidden="1" outlineLevel="1" x14ac:dyDescent="0.3">
      <c r="B33" s="623"/>
      <c r="C33" s="652" t="s">
        <v>653</v>
      </c>
      <c r="D33" s="652">
        <f>'Sales - 2021'!$B$8</f>
        <v>2400</v>
      </c>
      <c r="E33" s="652">
        <f>'Sales - 2021'!$C$8</f>
        <v>580</v>
      </c>
      <c r="F33" s="652">
        <f>'Sales - 2021'!$D$8</f>
        <v>3600</v>
      </c>
      <c r="G33" s="652">
        <f>'Sales - 2021'!$E$8</f>
        <v>360</v>
      </c>
    </row>
    <row r="34" spans="2:7" ht="18" hidden="1" outlineLevel="1" collapsed="1" x14ac:dyDescent="0.3">
      <c r="B34" s="623"/>
      <c r="C34" s="652" t="s">
        <v>653</v>
      </c>
      <c r="D34" s="652">
        <f>'Sales - 2022'!$C$8</f>
        <v>2300</v>
      </c>
      <c r="E34" s="652">
        <f>'Sales - 2022'!$D$8</f>
        <v>460</v>
      </c>
      <c r="F34" s="652">
        <f>'Sales - 2022'!$E$8</f>
        <v>3110</v>
      </c>
      <c r="G34" s="652">
        <f>'Sales - 2022'!$F$8</f>
        <v>500</v>
      </c>
    </row>
    <row r="35" spans="2:7" ht="18" hidden="1" outlineLevel="1" collapsed="1" x14ac:dyDescent="0.3">
      <c r="B35" s="623"/>
      <c r="C35" s="652" t="s">
        <v>653</v>
      </c>
      <c r="D35" s="652">
        <f>'Sales - 2023'!$B$10</f>
        <v>450</v>
      </c>
      <c r="E35" s="652">
        <f>'Sales - 2023'!$C$10</f>
        <v>290</v>
      </c>
      <c r="F35" s="652">
        <f>'Sales - 2023'!$D$10</f>
        <v>2630</v>
      </c>
      <c r="G35" s="652">
        <f>'Sales - 2023'!$E$10</f>
        <v>2560</v>
      </c>
    </row>
    <row r="36" spans="2:7" ht="18" hidden="1" outlineLevel="1" collapsed="1" x14ac:dyDescent="0.3">
      <c r="B36" s="623"/>
      <c r="C36" s="652" t="s">
        <v>653</v>
      </c>
      <c r="D36" s="652">
        <f>'Sales - 2024'!$D$8</f>
        <v>2500</v>
      </c>
      <c r="E36" s="652">
        <f>'Sales - 2024'!$E$8</f>
        <v>580</v>
      </c>
      <c r="F36" s="652">
        <f>'Sales - 2024'!$F$8</f>
        <v>3600</v>
      </c>
      <c r="G36" s="652">
        <f>'Sales - 2024'!$G$8</f>
        <v>210</v>
      </c>
    </row>
    <row r="37" spans="2:7" ht="18" collapsed="1" x14ac:dyDescent="0.3">
      <c r="B37" s="623" t="s">
        <v>43</v>
      </c>
      <c r="C37" s="652"/>
      <c r="D37" s="652">
        <f>SUM(D33:D36)</f>
        <v>7650</v>
      </c>
      <c r="E37" s="652">
        <f>SUM(E33:E36)</f>
        <v>1910</v>
      </c>
      <c r="F37" s="652">
        <f>SUM(F33:F36)</f>
        <v>12940</v>
      </c>
      <c r="G37" s="652">
        <f>SUM(G33:G36)</f>
        <v>3630</v>
      </c>
    </row>
  </sheetData>
  <dataConsolidate topLabels="1" link="1">
    <dataRefs count="4">
      <dataRef ref="A1:E8" sheet="Sales - 2021"/>
      <dataRef ref="B1:F8" sheet="Sales - 2022"/>
      <dataRef ref="A3:E10" sheet="Sales - 2023"/>
      <dataRef ref="C1:G8" sheet="Sales - 2024"/>
    </dataRefs>
  </dataConsolidate>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889A6-64D1-4A8B-B812-14BF6403C441}">
  <dimension ref="B2:H18"/>
  <sheetViews>
    <sheetView workbookViewId="0">
      <selection activeCell="C19" sqref="C19"/>
    </sheetView>
  </sheetViews>
  <sheetFormatPr defaultColWidth="14.44140625" defaultRowHeight="21.45" customHeight="1" x14ac:dyDescent="0.3"/>
  <cols>
    <col min="1" max="1" width="8.44140625" style="631" customWidth="1"/>
    <col min="2" max="2" width="13.44140625" style="631" customWidth="1"/>
    <col min="3" max="3" width="15.109375" style="631" customWidth="1"/>
    <col min="4" max="4" width="13.109375" style="631" customWidth="1"/>
    <col min="5" max="5" width="12.88671875" style="631" customWidth="1"/>
    <col min="6" max="6" width="12.44140625" style="631" customWidth="1"/>
    <col min="7" max="7" width="12.77734375" style="631" customWidth="1"/>
    <col min="8" max="8" width="32.21875" style="631" customWidth="1"/>
    <col min="9" max="9" width="15.77734375" style="631" customWidth="1"/>
    <col min="10" max="16384" width="14.44140625" style="631"/>
  </cols>
  <sheetData>
    <row r="2" spans="2:8" ht="21.45" customHeight="1" x14ac:dyDescent="0.3">
      <c r="C2" s="632" t="s">
        <v>652</v>
      </c>
      <c r="D2" s="633" t="s">
        <v>0</v>
      </c>
      <c r="E2" s="633" t="s">
        <v>2</v>
      </c>
      <c r="F2" s="633" t="s">
        <v>4</v>
      </c>
      <c r="G2" s="633" t="s">
        <v>6</v>
      </c>
    </row>
    <row r="3" spans="2:8" ht="21.45" customHeight="1" x14ac:dyDescent="0.3">
      <c r="C3" s="633" t="s">
        <v>646</v>
      </c>
      <c r="D3" s="634">
        <v>100</v>
      </c>
      <c r="E3" s="634">
        <v>50</v>
      </c>
      <c r="F3" s="634">
        <v>200</v>
      </c>
      <c r="G3" s="634">
        <v>10</v>
      </c>
    </row>
    <row r="4" spans="2:8" ht="21.45" customHeight="1" x14ac:dyDescent="0.3">
      <c r="C4" s="633" t="s">
        <v>647</v>
      </c>
      <c r="D4" s="634">
        <v>500</v>
      </c>
      <c r="E4" s="634">
        <v>80</v>
      </c>
      <c r="F4" s="634">
        <v>300</v>
      </c>
      <c r="G4" s="634">
        <v>20</v>
      </c>
    </row>
    <row r="5" spans="2:8" ht="21.45" customHeight="1" x14ac:dyDescent="0.3">
      <c r="C5" s="633" t="s">
        <v>648</v>
      </c>
      <c r="D5" s="634">
        <v>600</v>
      </c>
      <c r="E5" s="634">
        <v>70</v>
      </c>
      <c r="F5" s="634">
        <v>700</v>
      </c>
      <c r="G5" s="634">
        <v>30</v>
      </c>
    </row>
    <row r="6" spans="2:8" ht="21.45" customHeight="1" x14ac:dyDescent="0.3">
      <c r="C6" s="633" t="s">
        <v>43</v>
      </c>
      <c r="D6" s="634">
        <f>SUM(D3:D5)</f>
        <v>1200</v>
      </c>
      <c r="E6" s="634">
        <f>SUM(E3:E5)</f>
        <v>200</v>
      </c>
      <c r="F6" s="634">
        <f>SUM(F3:F5)</f>
        <v>1200</v>
      </c>
      <c r="G6" s="634">
        <f>SUM(G3:G5)</f>
        <v>60</v>
      </c>
    </row>
    <row r="7" spans="2:8" ht="21.45" customHeight="1" x14ac:dyDescent="0.3">
      <c r="H7" s="655" t="s">
        <v>654</v>
      </c>
    </row>
    <row r="8" spans="2:8" ht="21.45" customHeight="1" x14ac:dyDescent="0.3">
      <c r="H8" s="655" t="s">
        <v>655</v>
      </c>
    </row>
    <row r="9" spans="2:8" ht="21.45" customHeight="1" x14ac:dyDescent="0.3">
      <c r="B9" s="633">
        <f>TYPE(D3)</f>
        <v>1</v>
      </c>
      <c r="C9" s="654"/>
      <c r="H9" s="655" t="s">
        <v>656</v>
      </c>
    </row>
    <row r="10" spans="2:8" ht="21.45" customHeight="1" x14ac:dyDescent="0.3">
      <c r="B10" s="634">
        <f>TYPE(F4)</f>
        <v>1</v>
      </c>
      <c r="H10" s="655" t="s">
        <v>657</v>
      </c>
    </row>
    <row r="11" spans="2:8" ht="21.45" customHeight="1" x14ac:dyDescent="0.3">
      <c r="B11" s="634">
        <f>TYPE(D2)</f>
        <v>2</v>
      </c>
      <c r="H11" s="655" t="s">
        <v>658</v>
      </c>
    </row>
    <row r="12" spans="2:8" ht="21.45" customHeight="1" x14ac:dyDescent="0.3">
      <c r="B12" s="634">
        <f>TYPE(C2)</f>
        <v>2</v>
      </c>
      <c r="H12" s="655" t="s">
        <v>659</v>
      </c>
    </row>
    <row r="13" spans="2:8" ht="21.45" customHeight="1" x14ac:dyDescent="0.3">
      <c r="B13" s="634">
        <f>TYPE(C13)</f>
        <v>4</v>
      </c>
      <c r="C13" s="634" t="b">
        <v>1</v>
      </c>
    </row>
    <row r="14" spans="2:8" ht="21.45" customHeight="1" x14ac:dyDescent="0.3">
      <c r="B14" s="634">
        <f>TYPE(C14)</f>
        <v>4</v>
      </c>
      <c r="C14" s="634" t="b">
        <v>0</v>
      </c>
    </row>
    <row r="15" spans="2:8" ht="21.45" customHeight="1" x14ac:dyDescent="0.3">
      <c r="B15" s="634">
        <f>TYPE(C15)</f>
        <v>16</v>
      </c>
      <c r="C15" s="634" t="e" cm="1">
        <f t="array" ref="C15">SUM</f>
        <v>#NAME?</v>
      </c>
      <c r="E15" s="633" cm="1">
        <f t="array" ref="E15">TYPE(H7:H11)</f>
        <v>64</v>
      </c>
      <c r="F15" s="633" t="e" cm="1">
        <f t="array" ref="F15">SUM</f>
        <v>#NAME?</v>
      </c>
    </row>
    <row r="16" spans="2:8" ht="21.45" customHeight="1" x14ac:dyDescent="0.3">
      <c r="B16" s="634"/>
      <c r="C16" s="634">
        <f>SUM(F3:G3)</f>
        <v>210</v>
      </c>
    </row>
    <row r="17" spans="2:3" ht="21.45" customHeight="1" x14ac:dyDescent="0.3">
      <c r="B17" s="634"/>
      <c r="C17" s="634">
        <f>SUM(F4:G4)</f>
        <v>320</v>
      </c>
    </row>
    <row r="18" spans="2:3" ht="21.45" customHeight="1" x14ac:dyDescent="0.3">
      <c r="B18" s="634" cm="1">
        <f t="array" ref="B18">TYPE(C2:G6)</f>
        <v>64</v>
      </c>
    </row>
  </sheetData>
  <phoneticPr fontId="68"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AE08A-008C-4979-8F68-43470E5C59F4}">
  <dimension ref="B2:J23"/>
  <sheetViews>
    <sheetView zoomScale="90" zoomScaleNormal="90" workbookViewId="0">
      <selection activeCell="C19" sqref="C19"/>
    </sheetView>
  </sheetViews>
  <sheetFormatPr defaultColWidth="8.77734375" defaultRowHeight="14.4" x14ac:dyDescent="0.3"/>
  <cols>
    <col min="1" max="1" width="8.77734375" style="216" customWidth="1"/>
    <col min="2" max="3" width="18.21875" style="216" customWidth="1"/>
    <col min="4" max="4" width="17.88671875" style="216" customWidth="1"/>
    <col min="5" max="5" width="18" style="216" customWidth="1"/>
    <col min="6" max="6" width="17.77734375" style="216" customWidth="1"/>
    <col min="7" max="7" width="19.21875" style="216" customWidth="1"/>
    <col min="8" max="8" width="19.33203125" style="216" customWidth="1"/>
    <col min="9" max="9" width="17.77734375" style="216" customWidth="1"/>
    <col min="10" max="10" width="18.21875" style="216" customWidth="1"/>
    <col min="11" max="16384" width="8.77734375" style="216"/>
  </cols>
  <sheetData>
    <row r="2" spans="2:10" ht="30" customHeight="1" x14ac:dyDescent="0.3">
      <c r="B2" s="211" t="s">
        <v>376</v>
      </c>
      <c r="C2" s="212" t="s">
        <v>377</v>
      </c>
      <c r="D2" s="211" t="s">
        <v>378</v>
      </c>
      <c r="F2" s="232"/>
      <c r="G2" s="229" t="s">
        <v>376</v>
      </c>
      <c r="H2" s="212" t="s">
        <v>377</v>
      </c>
      <c r="I2" s="211" t="s">
        <v>378</v>
      </c>
    </row>
    <row r="3" spans="2:10" ht="17.55" customHeight="1" x14ac:dyDescent="0.3">
      <c r="B3" s="218" t="s">
        <v>372</v>
      </c>
      <c r="C3" s="213">
        <v>90</v>
      </c>
      <c r="D3" s="214">
        <v>600000</v>
      </c>
      <c r="F3" s="227"/>
      <c r="G3" s="219" t="s">
        <v>324</v>
      </c>
      <c r="H3" s="215">
        <v>30</v>
      </c>
      <c r="I3" s="214">
        <v>180000</v>
      </c>
    </row>
    <row r="4" spans="2:10" ht="17.55" customHeight="1" x14ac:dyDescent="0.3">
      <c r="B4" s="218" t="s">
        <v>374</v>
      </c>
      <c r="C4" s="213">
        <v>45</v>
      </c>
      <c r="D4" s="214">
        <v>250000</v>
      </c>
      <c r="F4" s="227"/>
      <c r="G4" s="219" t="s">
        <v>375</v>
      </c>
      <c r="H4" s="213">
        <v>35</v>
      </c>
      <c r="I4" s="214">
        <v>200000</v>
      </c>
    </row>
    <row r="5" spans="2:10" ht="16.95" customHeight="1" x14ac:dyDescent="0.3">
      <c r="B5" s="218" t="s">
        <v>323</v>
      </c>
      <c r="C5" s="215">
        <v>50</v>
      </c>
      <c r="D5" s="214">
        <v>400000</v>
      </c>
      <c r="F5" s="227"/>
      <c r="G5" s="219" t="s">
        <v>382</v>
      </c>
      <c r="H5" s="215">
        <v>40</v>
      </c>
      <c r="I5" s="214">
        <v>225000</v>
      </c>
    </row>
    <row r="6" spans="2:10" ht="16.5" customHeight="1" x14ac:dyDescent="0.3">
      <c r="B6" s="218" t="s">
        <v>375</v>
      </c>
      <c r="C6" s="213">
        <v>35</v>
      </c>
      <c r="D6" s="214">
        <v>200000</v>
      </c>
      <c r="F6" s="227"/>
      <c r="G6" s="219" t="s">
        <v>374</v>
      </c>
      <c r="H6" s="213">
        <v>45</v>
      </c>
      <c r="I6" s="214">
        <v>250000</v>
      </c>
    </row>
    <row r="7" spans="2:10" x14ac:dyDescent="0.3">
      <c r="B7" s="218" t="s">
        <v>373</v>
      </c>
      <c r="C7" s="213">
        <v>78</v>
      </c>
      <c r="D7" s="214">
        <v>500000</v>
      </c>
      <c r="F7" s="227"/>
      <c r="G7" s="219" t="s">
        <v>323</v>
      </c>
      <c r="H7" s="215">
        <v>50</v>
      </c>
      <c r="I7" s="214">
        <v>400000</v>
      </c>
    </row>
    <row r="8" spans="2:10" x14ac:dyDescent="0.3">
      <c r="B8" s="218" t="s">
        <v>324</v>
      </c>
      <c r="C8" s="215">
        <v>30</v>
      </c>
      <c r="D8" s="214">
        <v>180000</v>
      </c>
      <c r="F8" s="227"/>
      <c r="G8" s="219" t="s">
        <v>381</v>
      </c>
      <c r="H8" s="215">
        <v>60</v>
      </c>
      <c r="I8" s="214">
        <v>450000</v>
      </c>
    </row>
    <row r="9" spans="2:10" x14ac:dyDescent="0.3">
      <c r="B9" s="218" t="s">
        <v>381</v>
      </c>
      <c r="C9" s="215">
        <v>60</v>
      </c>
      <c r="D9" s="214">
        <v>450000</v>
      </c>
      <c r="F9" s="227"/>
      <c r="G9" s="219" t="s">
        <v>373</v>
      </c>
      <c r="H9" s="213">
        <v>78</v>
      </c>
      <c r="I9" s="214">
        <v>500000</v>
      </c>
    </row>
    <row r="10" spans="2:10" x14ac:dyDescent="0.3">
      <c r="B10" s="221" t="s">
        <v>382</v>
      </c>
      <c r="C10" s="224">
        <v>40</v>
      </c>
      <c r="D10" s="222">
        <v>225000</v>
      </c>
      <c r="F10" s="227"/>
      <c r="G10" s="230" t="s">
        <v>372</v>
      </c>
      <c r="H10" s="234">
        <v>90</v>
      </c>
      <c r="I10" s="222">
        <v>600000</v>
      </c>
    </row>
    <row r="11" spans="2:10" x14ac:dyDescent="0.3">
      <c r="B11" s="217"/>
      <c r="C11" s="217"/>
      <c r="D11" s="217"/>
      <c r="E11" s="213"/>
      <c r="F11" s="227"/>
      <c r="G11" s="231"/>
      <c r="H11" s="217"/>
      <c r="I11" s="217"/>
      <c r="J11" s="217"/>
    </row>
    <row r="12" spans="2:10" x14ac:dyDescent="0.3">
      <c r="B12" s="217"/>
      <c r="C12" s="217"/>
      <c r="D12" s="217"/>
      <c r="E12" s="213"/>
      <c r="F12" s="227"/>
      <c r="G12" s="231"/>
      <c r="H12" s="217"/>
      <c r="I12" s="217"/>
      <c r="J12" s="217"/>
    </row>
    <row r="13" spans="2:10" ht="16.5" customHeight="1" thickBot="1" x14ac:dyDescent="0.35">
      <c r="B13" s="741" t="s">
        <v>387</v>
      </c>
      <c r="C13" s="223" t="s">
        <v>376</v>
      </c>
      <c r="D13" s="223" t="s">
        <v>377</v>
      </c>
      <c r="E13" s="225" t="s">
        <v>378</v>
      </c>
      <c r="F13" s="233"/>
      <c r="G13" s="744" t="s">
        <v>383</v>
      </c>
      <c r="H13" s="223" t="s">
        <v>376</v>
      </c>
      <c r="I13" s="223" t="s">
        <v>377</v>
      </c>
      <c r="J13" s="223" t="s">
        <v>378</v>
      </c>
    </row>
    <row r="14" spans="2:10" ht="16.5" customHeight="1" x14ac:dyDescent="0.3">
      <c r="B14" s="742"/>
      <c r="C14" s="236" t="s">
        <v>386</v>
      </c>
      <c r="D14" s="236">
        <v>25</v>
      </c>
      <c r="E14" s="236" t="e">
        <f>VLOOKUP(D14, C2:D10, 2, 0)</f>
        <v>#N/A</v>
      </c>
      <c r="F14" s="235"/>
      <c r="G14" s="745"/>
      <c r="H14" s="236" t="s">
        <v>386</v>
      </c>
      <c r="I14" s="236">
        <v>25</v>
      </c>
      <c r="J14" s="236" t="e">
        <f>VLOOKUP(I14, H2:I10, 2, 1)</f>
        <v>#N/A</v>
      </c>
    </row>
    <row r="15" spans="2:10" ht="18" customHeight="1" x14ac:dyDescent="0.3">
      <c r="B15" s="742"/>
      <c r="C15" s="218" t="s">
        <v>373</v>
      </c>
      <c r="D15" s="217">
        <v>78</v>
      </c>
      <c r="E15" s="226">
        <f>VLOOKUP(D15, C2:D10, 2, FALSE)</f>
        <v>500000</v>
      </c>
      <c r="F15" s="227"/>
      <c r="G15" s="745"/>
      <c r="H15" s="218" t="s">
        <v>373</v>
      </c>
      <c r="I15" s="217">
        <v>78</v>
      </c>
      <c r="J15" s="220">
        <f>VLOOKUP(I15, H2:I10, 2, TRUE)</f>
        <v>500000</v>
      </c>
    </row>
    <row r="16" spans="2:10" ht="16.95" customHeight="1" x14ac:dyDescent="0.3">
      <c r="B16" s="742"/>
      <c r="C16" s="218" t="s">
        <v>374</v>
      </c>
      <c r="D16" s="217">
        <v>45</v>
      </c>
      <c r="E16" s="226">
        <f>VLOOKUP(D16, C2:D10, 2, 0)</f>
        <v>250000</v>
      </c>
      <c r="F16" s="227"/>
      <c r="G16" s="745"/>
      <c r="H16" s="218" t="s">
        <v>374</v>
      </c>
      <c r="I16" s="217">
        <v>45</v>
      </c>
      <c r="J16" s="220">
        <f t="shared" ref="J16:J23" si="0">VLOOKUP(I16, $H$2:$I$10, 2, 1)</f>
        <v>250000</v>
      </c>
    </row>
    <row r="17" spans="2:10" ht="15" customHeight="1" x14ac:dyDescent="0.3">
      <c r="B17" s="742"/>
      <c r="C17" s="218" t="s">
        <v>324</v>
      </c>
      <c r="D17" s="217">
        <v>30</v>
      </c>
      <c r="E17" s="226">
        <f>VLOOKUP(D17, $C$2:$D$10, 2, FALSE)</f>
        <v>180000</v>
      </c>
      <c r="F17" s="227"/>
      <c r="G17" s="745"/>
      <c r="H17" s="218" t="s">
        <v>324</v>
      </c>
      <c r="I17" s="217">
        <v>30</v>
      </c>
      <c r="J17" s="220">
        <f t="shared" si="0"/>
        <v>180000</v>
      </c>
    </row>
    <row r="18" spans="2:10" ht="15.45" customHeight="1" x14ac:dyDescent="0.3">
      <c r="B18" s="742"/>
      <c r="C18" s="217" t="s">
        <v>379</v>
      </c>
      <c r="D18" s="217">
        <v>85</v>
      </c>
      <c r="E18" s="226" t="e">
        <f t="shared" ref="E18:E23" si="1">VLOOKUP(D18, $C$2:$D$10, 2, FALSE)</f>
        <v>#N/A</v>
      </c>
      <c r="F18" s="227"/>
      <c r="G18" s="745"/>
      <c r="H18" s="217" t="s">
        <v>379</v>
      </c>
      <c r="I18" s="217">
        <v>85</v>
      </c>
      <c r="J18" s="220">
        <f t="shared" si="0"/>
        <v>500000</v>
      </c>
    </row>
    <row r="19" spans="2:10" ht="16.05" customHeight="1" x14ac:dyDescent="0.3">
      <c r="B19" s="742"/>
      <c r="C19" s="218" t="s">
        <v>372</v>
      </c>
      <c r="D19" s="217">
        <v>90</v>
      </c>
      <c r="E19" s="226">
        <f t="shared" si="1"/>
        <v>600000</v>
      </c>
      <c r="F19" s="227"/>
      <c r="G19" s="745"/>
      <c r="H19" s="218" t="s">
        <v>372</v>
      </c>
      <c r="I19" s="217">
        <v>90</v>
      </c>
      <c r="J19" s="220">
        <f t="shared" si="0"/>
        <v>600000</v>
      </c>
    </row>
    <row r="20" spans="2:10" ht="15.45" customHeight="1" x14ac:dyDescent="0.3">
      <c r="B20" s="742"/>
      <c r="C20" s="217" t="s">
        <v>380</v>
      </c>
      <c r="D20" s="217">
        <v>67</v>
      </c>
      <c r="E20" s="226" t="e">
        <f t="shared" si="1"/>
        <v>#N/A</v>
      </c>
      <c r="F20" s="227"/>
      <c r="G20" s="745"/>
      <c r="H20" s="217" t="s">
        <v>380</v>
      </c>
      <c r="I20" s="217">
        <v>67</v>
      </c>
      <c r="J20" s="220">
        <f t="shared" si="0"/>
        <v>450000</v>
      </c>
    </row>
    <row r="21" spans="2:10" x14ac:dyDescent="0.3">
      <c r="B21" s="742"/>
      <c r="C21" s="217" t="s">
        <v>384</v>
      </c>
      <c r="D21" s="217">
        <v>42</v>
      </c>
      <c r="E21" s="226" t="e">
        <f t="shared" si="1"/>
        <v>#N/A</v>
      </c>
      <c r="F21" s="227"/>
      <c r="G21" s="745"/>
      <c r="H21" s="217" t="s">
        <v>384</v>
      </c>
      <c r="I21" s="217">
        <v>42</v>
      </c>
      <c r="J21" s="220">
        <f t="shared" si="0"/>
        <v>225000</v>
      </c>
    </row>
    <row r="22" spans="2:10" x14ac:dyDescent="0.3">
      <c r="B22" s="742"/>
      <c r="C22" s="217" t="s">
        <v>323</v>
      </c>
      <c r="D22" s="217">
        <v>50</v>
      </c>
      <c r="E22" s="226">
        <f t="shared" si="1"/>
        <v>400000</v>
      </c>
      <c r="F22" s="227"/>
      <c r="G22" s="745"/>
      <c r="H22" s="217" t="s">
        <v>323</v>
      </c>
      <c r="I22" s="217">
        <v>50</v>
      </c>
      <c r="J22" s="220">
        <f t="shared" si="0"/>
        <v>400000</v>
      </c>
    </row>
    <row r="23" spans="2:10" ht="15" thickBot="1" x14ac:dyDescent="0.35">
      <c r="B23" s="743"/>
      <c r="C23" s="217" t="s">
        <v>385</v>
      </c>
      <c r="D23" s="217">
        <v>97</v>
      </c>
      <c r="E23" s="226" t="e">
        <f t="shared" si="1"/>
        <v>#N/A</v>
      </c>
      <c r="F23" s="228"/>
      <c r="G23" s="746"/>
      <c r="H23" s="217" t="s">
        <v>385</v>
      </c>
      <c r="I23" s="217">
        <v>97</v>
      </c>
      <c r="J23" s="220">
        <f t="shared" si="0"/>
        <v>600000</v>
      </c>
    </row>
  </sheetData>
  <sortState xmlns:xlrd2="http://schemas.microsoft.com/office/spreadsheetml/2017/richdata2" ref="G3:I10">
    <sortCondition ref="H7:H10"/>
  </sortState>
  <mergeCells count="2">
    <mergeCell ref="B13:B23"/>
    <mergeCell ref="G13:G23"/>
  </mergeCells>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42DB4-2F5D-403D-8437-BB0479DA8522}">
  <dimension ref="B2:I72"/>
  <sheetViews>
    <sheetView topLeftCell="A44" workbookViewId="0">
      <selection activeCell="C19" sqref="C19"/>
    </sheetView>
  </sheetViews>
  <sheetFormatPr defaultColWidth="8.77734375" defaultRowHeight="15" x14ac:dyDescent="0.3"/>
  <cols>
    <col min="1" max="1" width="8.77734375" style="239"/>
    <col min="2" max="2" width="19.5546875" style="239" customWidth="1"/>
    <col min="3" max="3" width="25.88671875" style="239" customWidth="1"/>
    <col min="4" max="4" width="15.44140625" style="239" customWidth="1"/>
    <col min="5" max="5" width="17.77734375" style="239" customWidth="1"/>
    <col min="6" max="6" width="15.21875" style="239" customWidth="1"/>
    <col min="7" max="7" width="26.21875" style="239" bestFit="1" customWidth="1"/>
    <col min="8" max="8" width="18.88671875" style="239" customWidth="1"/>
    <col min="9" max="9" width="19.21875" style="239" customWidth="1"/>
    <col min="10" max="16384" width="8.77734375" style="239"/>
  </cols>
  <sheetData>
    <row r="2" spans="2:9" ht="21.45" customHeight="1" x14ac:dyDescent="0.3">
      <c r="B2" s="238" t="s">
        <v>423</v>
      </c>
    </row>
    <row r="3" spans="2:9" ht="15.45" customHeight="1" x14ac:dyDescent="0.3">
      <c r="B3" s="240" t="s">
        <v>411</v>
      </c>
      <c r="E3" s="377"/>
      <c r="F3" s="377"/>
      <c r="G3" s="377"/>
      <c r="H3" s="377"/>
    </row>
    <row r="4" spans="2:9" x14ac:dyDescent="0.3">
      <c r="B4" s="240" t="s">
        <v>412</v>
      </c>
      <c r="C4" s="239">
        <v>2024</v>
      </c>
      <c r="E4" s="248"/>
      <c r="F4" s="378"/>
      <c r="G4" s="379"/>
    </row>
    <row r="5" spans="2:9" ht="15.6" x14ac:dyDescent="0.3">
      <c r="B5" s="240" t="s">
        <v>18</v>
      </c>
      <c r="C5" s="239">
        <v>8</v>
      </c>
      <c r="E5" s="241" t="s">
        <v>428</v>
      </c>
      <c r="F5" s="241" t="s">
        <v>429</v>
      </c>
      <c r="G5" s="386" t="s">
        <v>411</v>
      </c>
      <c r="H5" s="386" t="s">
        <v>412</v>
      </c>
      <c r="I5" s="386" t="s">
        <v>431</v>
      </c>
    </row>
    <row r="6" spans="2:9" x14ac:dyDescent="0.3">
      <c r="B6" s="240" t="s">
        <v>425</v>
      </c>
      <c r="C6" s="239">
        <v>15</v>
      </c>
      <c r="E6" s="242">
        <v>45691</v>
      </c>
      <c r="F6" s="245">
        <v>0.74722222222222223</v>
      </c>
      <c r="G6" s="242">
        <f ca="1">TODAY()</f>
        <v>46015</v>
      </c>
      <c r="H6" s="247">
        <f ca="1">NOW()</f>
        <v>46015.361536458331</v>
      </c>
      <c r="I6" s="242">
        <f>DATE(C4, C5, C6)</f>
        <v>45519</v>
      </c>
    </row>
    <row r="7" spans="2:9" ht="15.45" customHeight="1" x14ac:dyDescent="0.3">
      <c r="B7" s="240" t="s">
        <v>413</v>
      </c>
    </row>
    <row r="8" spans="2:9" ht="16.05" customHeight="1" x14ac:dyDescent="0.3">
      <c r="B8" s="240" t="s">
        <v>533</v>
      </c>
      <c r="H8" s="239" t="s">
        <v>432</v>
      </c>
      <c r="I8" s="239">
        <f>DAY(I6)</f>
        <v>15</v>
      </c>
    </row>
    <row r="9" spans="2:9" x14ac:dyDescent="0.3">
      <c r="B9" s="240" t="s">
        <v>422</v>
      </c>
      <c r="H9" s="239" t="s">
        <v>433</v>
      </c>
      <c r="I9" s="239">
        <f>MONTH(I6)</f>
        <v>8</v>
      </c>
    </row>
    <row r="10" spans="2:9" x14ac:dyDescent="0.3">
      <c r="B10" s="240" t="s">
        <v>414</v>
      </c>
      <c r="H10" s="239" t="s">
        <v>389</v>
      </c>
      <c r="I10" s="239">
        <f>YEAR(I6)</f>
        <v>2024</v>
      </c>
    </row>
    <row r="11" spans="2:9" x14ac:dyDescent="0.3">
      <c r="B11" s="240" t="s">
        <v>415</v>
      </c>
    </row>
    <row r="12" spans="2:9" ht="15.6" x14ac:dyDescent="0.3">
      <c r="B12" s="240" t="s">
        <v>416</v>
      </c>
      <c r="E12" s="241" t="s">
        <v>396</v>
      </c>
      <c r="F12" s="241" t="s">
        <v>397</v>
      </c>
      <c r="G12" s="241" t="s">
        <v>426</v>
      </c>
      <c r="H12" s="241" t="s">
        <v>427</v>
      </c>
    </row>
    <row r="13" spans="2:9" x14ac:dyDescent="0.3">
      <c r="B13" s="240" t="s">
        <v>417</v>
      </c>
      <c r="E13" s="380">
        <v>44927</v>
      </c>
      <c r="F13" s="380">
        <v>45240</v>
      </c>
      <c r="G13" s="243">
        <v>2</v>
      </c>
      <c r="H13" s="244">
        <v>2</v>
      </c>
    </row>
    <row r="14" spans="2:9" x14ac:dyDescent="0.3">
      <c r="B14" s="240" t="s">
        <v>418</v>
      </c>
      <c r="E14" s="380">
        <v>45507</v>
      </c>
      <c r="F14" s="380">
        <v>44908</v>
      </c>
      <c r="G14" s="244">
        <v>5</v>
      </c>
      <c r="H14" s="244">
        <v>5</v>
      </c>
    </row>
    <row r="15" spans="2:9" x14ac:dyDescent="0.3">
      <c r="B15" s="240" t="s">
        <v>419</v>
      </c>
      <c r="E15" s="380">
        <v>42348</v>
      </c>
      <c r="F15" s="380">
        <v>42298</v>
      </c>
      <c r="G15" s="244">
        <v>-5</v>
      </c>
      <c r="H15" s="244">
        <v>-5</v>
      </c>
    </row>
    <row r="16" spans="2:9" x14ac:dyDescent="0.3">
      <c r="B16" s="240" t="s">
        <v>424</v>
      </c>
      <c r="E16" s="380">
        <v>45782</v>
      </c>
      <c r="F16" s="380">
        <v>46757</v>
      </c>
      <c r="G16" s="244">
        <v>-12</v>
      </c>
      <c r="H16" s="244">
        <v>-12</v>
      </c>
    </row>
    <row r="17" spans="2:9" x14ac:dyDescent="0.3">
      <c r="B17" s="240" t="s">
        <v>420</v>
      </c>
    </row>
    <row r="18" spans="2:9" x14ac:dyDescent="0.3">
      <c r="B18" s="240" t="s">
        <v>421</v>
      </c>
    </row>
    <row r="20" spans="2:9" ht="15" customHeight="1" x14ac:dyDescent="0.3">
      <c r="C20" s="248"/>
      <c r="D20" s="748" t="s">
        <v>434</v>
      </c>
      <c r="E20" s="242">
        <f>E13+H13</f>
        <v>44929</v>
      </c>
      <c r="F20" s="242">
        <f>EDATE(E13, G13)</f>
        <v>44986</v>
      </c>
      <c r="G20" s="244">
        <v>45301</v>
      </c>
      <c r="H20" s="249">
        <v>45301</v>
      </c>
      <c r="I20" s="747" t="s">
        <v>530</v>
      </c>
    </row>
    <row r="21" spans="2:9" x14ac:dyDescent="0.3">
      <c r="C21" s="248"/>
      <c r="D21" s="749"/>
      <c r="E21" s="242">
        <f>E14+H14</f>
        <v>45512</v>
      </c>
      <c r="F21" s="242">
        <f>EDATE(E14, G14)</f>
        <v>45660</v>
      </c>
      <c r="G21" s="244">
        <v>45059</v>
      </c>
      <c r="H21" s="249">
        <v>45059</v>
      </c>
      <c r="I21" s="747"/>
    </row>
    <row r="22" spans="2:9" x14ac:dyDescent="0.3">
      <c r="C22" s="248"/>
      <c r="D22" s="749"/>
      <c r="E22" s="242">
        <f>E15+H15</f>
        <v>42343</v>
      </c>
      <c r="F22" s="242">
        <f>EDATE(E15,G15)</f>
        <v>42195</v>
      </c>
      <c r="G22" s="244">
        <v>42145</v>
      </c>
      <c r="H22" s="249">
        <v>42145</v>
      </c>
      <c r="I22" s="747"/>
    </row>
    <row r="23" spans="2:9" x14ac:dyDescent="0.3">
      <c r="C23" s="248"/>
      <c r="D23" s="750"/>
      <c r="E23" s="242">
        <f>E16+H16</f>
        <v>45770</v>
      </c>
      <c r="F23" s="242">
        <f>EDATE(E16,G16)</f>
        <v>45417</v>
      </c>
      <c r="G23" s="244">
        <v>46392</v>
      </c>
      <c r="H23" s="249">
        <v>46392</v>
      </c>
      <c r="I23" s="747"/>
    </row>
    <row r="25" spans="2:9" x14ac:dyDescent="0.3">
      <c r="D25" s="747" t="s">
        <v>435</v>
      </c>
      <c r="E25" s="242">
        <f>EOMONTH(E20, 5)</f>
        <v>45107</v>
      </c>
    </row>
    <row r="26" spans="2:9" x14ac:dyDescent="0.3">
      <c r="D26" s="747"/>
      <c r="E26" s="242">
        <f>EOMONTH(E21, 3)</f>
        <v>45626</v>
      </c>
      <c r="G26" s="248">
        <v>43836</v>
      </c>
    </row>
    <row r="27" spans="2:9" x14ac:dyDescent="0.3">
      <c r="D27" s="747"/>
      <c r="E27" s="242">
        <f>EOMONTH(E22, 2)</f>
        <v>42429</v>
      </c>
    </row>
    <row r="28" spans="2:9" x14ac:dyDescent="0.3">
      <c r="D28" s="747"/>
      <c r="E28" s="242">
        <f>EOMONTH(E23, 4)</f>
        <v>45900</v>
      </c>
    </row>
    <row r="29" spans="2:9" ht="18.45" customHeight="1" x14ac:dyDescent="0.3"/>
    <row r="30" spans="2:9" ht="18.45" customHeight="1" x14ac:dyDescent="0.3">
      <c r="D30" s="747" t="s">
        <v>416</v>
      </c>
      <c r="E30" s="244">
        <f>WEEKDAY(E25,2)</f>
        <v>5</v>
      </c>
      <c r="F30" s="248">
        <v>45107</v>
      </c>
    </row>
    <row r="31" spans="2:9" ht="18.45" customHeight="1" x14ac:dyDescent="0.3">
      <c r="D31" s="747"/>
      <c r="E31" s="244">
        <f>WEEKDAY(E26, 2)</f>
        <v>6</v>
      </c>
      <c r="F31" s="248">
        <v>45626</v>
      </c>
    </row>
    <row r="32" spans="2:9" x14ac:dyDescent="0.3">
      <c r="E32" s="244">
        <f>WEEKDAY(E27, 2)</f>
        <v>1</v>
      </c>
      <c r="F32" s="248">
        <v>42429</v>
      </c>
    </row>
    <row r="33" spans="4:6" x14ac:dyDescent="0.3">
      <c r="E33" s="244">
        <f>WEEKDAY(E28, 2)</f>
        <v>7</v>
      </c>
      <c r="F33" s="248">
        <v>45900</v>
      </c>
    </row>
    <row r="35" spans="4:6" x14ac:dyDescent="0.3">
      <c r="D35" s="748" t="s">
        <v>417</v>
      </c>
      <c r="E35" s="244">
        <f>WEEKNUM(E25,2)</f>
        <v>27</v>
      </c>
      <c r="F35" s="248">
        <v>45107</v>
      </c>
    </row>
    <row r="36" spans="4:6" x14ac:dyDescent="0.3">
      <c r="D36" s="750"/>
      <c r="E36" s="244">
        <f>WEEKNUM(E26,2)</f>
        <v>48</v>
      </c>
      <c r="F36" s="248">
        <v>45626</v>
      </c>
    </row>
    <row r="37" spans="4:6" x14ac:dyDescent="0.3">
      <c r="E37" s="244">
        <f>WEEKNUM(E27,2)</f>
        <v>10</v>
      </c>
      <c r="F37" s="248">
        <v>42429</v>
      </c>
    </row>
    <row r="38" spans="4:6" x14ac:dyDescent="0.3">
      <c r="E38" s="244">
        <f>WEEKNUM(E28,2)</f>
        <v>35</v>
      </c>
      <c r="F38" s="248">
        <v>45900</v>
      </c>
    </row>
    <row r="40" spans="4:6" x14ac:dyDescent="0.3">
      <c r="D40" s="385" t="s">
        <v>418</v>
      </c>
      <c r="E40" s="244">
        <f ca="1">_xlfn.DAYS(G6, F35)</f>
        <v>908</v>
      </c>
    </row>
    <row r="41" spans="4:6" x14ac:dyDescent="0.3">
      <c r="D41" s="244"/>
      <c r="E41" s="244">
        <f ca="1">_xlfn.DAYS(G6, F36)</f>
        <v>389</v>
      </c>
    </row>
    <row r="42" spans="4:6" x14ac:dyDescent="0.3">
      <c r="E42" s="244">
        <f ca="1">_xlfn.DAYS(G6, F37)</f>
        <v>3586</v>
      </c>
    </row>
    <row r="43" spans="4:6" x14ac:dyDescent="0.3">
      <c r="E43" s="244">
        <f ca="1">_xlfn.DAYS(G6, F38)</f>
        <v>115</v>
      </c>
    </row>
    <row r="46" spans="4:6" x14ac:dyDescent="0.3">
      <c r="D46" s="385" t="s">
        <v>436</v>
      </c>
      <c r="E46" s="244" t="s">
        <v>437</v>
      </c>
      <c r="F46" s="244">
        <f ca="1">DATEDIF(D47, G6, "Y")</f>
        <v>34</v>
      </c>
    </row>
    <row r="47" spans="4:6" x14ac:dyDescent="0.3">
      <c r="D47" s="242">
        <v>33463</v>
      </c>
      <c r="E47" s="244" t="s">
        <v>15</v>
      </c>
      <c r="F47" s="244">
        <f ca="1">DATEDIF(D47, G6, "M")</f>
        <v>412</v>
      </c>
    </row>
    <row r="48" spans="4:6" x14ac:dyDescent="0.3">
      <c r="E48" s="244" t="s">
        <v>418</v>
      </c>
      <c r="F48" s="244">
        <f ca="1">DATEDIF(D47, G6, "D")</f>
        <v>12552</v>
      </c>
    </row>
    <row r="51" spans="2:9" ht="15.6" x14ac:dyDescent="0.3">
      <c r="B51" s="752" t="s">
        <v>398</v>
      </c>
      <c r="C51" s="753"/>
      <c r="D51" s="753"/>
      <c r="E51" s="753"/>
      <c r="F51" s="753"/>
      <c r="G51" s="753"/>
      <c r="H51" s="754"/>
    </row>
    <row r="52" spans="2:9" x14ac:dyDescent="0.3">
      <c r="B52" s="244" t="s">
        <v>396</v>
      </c>
      <c r="C52" s="242">
        <v>43831</v>
      </c>
      <c r="D52" s="242">
        <v>43832</v>
      </c>
      <c r="E52" s="242">
        <v>43833</v>
      </c>
      <c r="F52" s="242">
        <v>43834</v>
      </c>
      <c r="G52" s="242">
        <v>43835</v>
      </c>
      <c r="H52" s="242">
        <v>43836</v>
      </c>
    </row>
    <row r="53" spans="2:9" x14ac:dyDescent="0.3">
      <c r="B53" s="244" t="s">
        <v>397</v>
      </c>
      <c r="C53" s="242" t="s">
        <v>400</v>
      </c>
      <c r="D53" s="242" t="s">
        <v>400</v>
      </c>
      <c r="E53" s="242" t="s">
        <v>400</v>
      </c>
      <c r="F53" s="242" t="s">
        <v>400</v>
      </c>
      <c r="G53" s="242" t="s">
        <v>400</v>
      </c>
      <c r="H53" s="242" t="s">
        <v>400</v>
      </c>
    </row>
    <row r="54" spans="2:9" x14ac:dyDescent="0.3">
      <c r="B54" s="244" t="s">
        <v>430</v>
      </c>
      <c r="C54" s="244" t="s">
        <v>401</v>
      </c>
      <c r="D54" s="244" t="s">
        <v>354</v>
      </c>
      <c r="E54" s="244" t="s">
        <v>336</v>
      </c>
      <c r="F54" s="244" t="s">
        <v>402</v>
      </c>
      <c r="G54" s="244" t="s">
        <v>403</v>
      </c>
      <c r="H54" s="244" t="s">
        <v>404</v>
      </c>
    </row>
    <row r="55" spans="2:9" x14ac:dyDescent="0.3">
      <c r="B55" s="244" t="s">
        <v>399</v>
      </c>
      <c r="C55" s="244">
        <f>DATEDIF(C52, C53, "Y")</f>
        <v>1</v>
      </c>
      <c r="D55" s="244">
        <f>DATEDIF(D52, D53, "M")</f>
        <v>22</v>
      </c>
      <c r="E55" s="244">
        <f>DATEDIF(E52, E53, "D")</f>
        <v>698</v>
      </c>
      <c r="F55" s="244">
        <f>DATEDIF(F52, F53, "MD")</f>
        <v>27</v>
      </c>
      <c r="G55" s="244">
        <f>DATEDIF(G52, G53, "YM")</f>
        <v>10</v>
      </c>
      <c r="H55" s="244">
        <f>DATEDIF(H52, H53, "YD")</f>
        <v>330</v>
      </c>
    </row>
    <row r="56" spans="2:9" x14ac:dyDescent="0.3">
      <c r="B56" s="244"/>
      <c r="C56" s="244"/>
      <c r="D56" s="244"/>
      <c r="E56" s="244"/>
      <c r="F56" s="244"/>
      <c r="G56" s="244"/>
      <c r="H56" s="244"/>
    </row>
    <row r="58" spans="2:9" x14ac:dyDescent="0.3">
      <c r="B58" s="246" t="s">
        <v>401</v>
      </c>
      <c r="C58" s="246" t="s">
        <v>405</v>
      </c>
    </row>
    <row r="59" spans="2:9" ht="16.5" customHeight="1" x14ac:dyDescent="0.3">
      <c r="B59" s="246" t="s">
        <v>354</v>
      </c>
      <c r="C59" s="246" t="s">
        <v>406</v>
      </c>
      <c r="E59" s="241" t="s">
        <v>396</v>
      </c>
      <c r="F59" s="241" t="s">
        <v>397</v>
      </c>
    </row>
    <row r="60" spans="2:9" x14ac:dyDescent="0.3">
      <c r="B60" s="246" t="s">
        <v>336</v>
      </c>
      <c r="C60" s="246" t="s">
        <v>407</v>
      </c>
      <c r="E60" s="380">
        <v>44927</v>
      </c>
      <c r="F60" s="380">
        <v>45291</v>
      </c>
      <c r="G60" s="239">
        <f>NETWORKDAYS(E60, F60)</f>
        <v>260</v>
      </c>
      <c r="H60" s="239">
        <f>NETWORKDAYS(E60, F60, D67:D69)</f>
        <v>257</v>
      </c>
      <c r="I60" s="748" t="s">
        <v>420</v>
      </c>
    </row>
    <row r="61" spans="2:9" ht="30" x14ac:dyDescent="0.3">
      <c r="B61" s="246" t="s">
        <v>402</v>
      </c>
      <c r="C61" s="246" t="s">
        <v>410</v>
      </c>
      <c r="E61" s="380">
        <v>45354</v>
      </c>
      <c r="F61" s="380">
        <v>45639</v>
      </c>
      <c r="G61" s="239">
        <f>NETWORKDAYS(E61, F61)</f>
        <v>205</v>
      </c>
      <c r="H61" s="239">
        <f>NETWORKDAYS(E61, F61, D70:D72)</f>
        <v>203</v>
      </c>
      <c r="I61" s="750"/>
    </row>
    <row r="62" spans="2:9" ht="30" x14ac:dyDescent="0.3">
      <c r="B62" s="246" t="s">
        <v>403</v>
      </c>
      <c r="C62" s="246" t="s">
        <v>409</v>
      </c>
      <c r="E62" s="380">
        <v>42014</v>
      </c>
      <c r="F62" s="380">
        <v>42298</v>
      </c>
      <c r="G62" s="239">
        <f>NETWORKDAYS.INTL(E62, F62)</f>
        <v>203</v>
      </c>
      <c r="H62" s="239">
        <f>NETWORKDAYS.INTL(E62, F62, 1, G67:G69)</f>
        <v>201</v>
      </c>
      <c r="I62" s="385" t="s">
        <v>421</v>
      </c>
    </row>
    <row r="63" spans="2:9" ht="30" x14ac:dyDescent="0.3">
      <c r="B63" s="246" t="s">
        <v>404</v>
      </c>
      <c r="C63" s="246" t="s">
        <v>408</v>
      </c>
      <c r="E63" s="387">
        <v>45782</v>
      </c>
      <c r="F63" s="387">
        <v>46757</v>
      </c>
      <c r="G63" s="388"/>
      <c r="H63" s="388"/>
      <c r="I63" s="389" t="s">
        <v>532</v>
      </c>
    </row>
    <row r="67" spans="4:8" ht="15" customHeight="1" x14ac:dyDescent="0.3">
      <c r="D67" s="253">
        <v>44952</v>
      </c>
      <c r="E67" s="254" t="s">
        <v>440</v>
      </c>
      <c r="F67" s="250"/>
      <c r="G67" s="253">
        <v>42030</v>
      </c>
      <c r="H67" s="751" t="s">
        <v>531</v>
      </c>
    </row>
    <row r="68" spans="4:8" ht="30" x14ac:dyDescent="0.3">
      <c r="D68" s="251">
        <v>45153</v>
      </c>
      <c r="E68" s="252" t="s">
        <v>438</v>
      </c>
      <c r="F68" s="250"/>
      <c r="G68" s="251">
        <v>42231</v>
      </c>
      <c r="H68" s="751"/>
    </row>
    <row r="69" spans="4:8" ht="15.6" thickBot="1" x14ac:dyDescent="0.35">
      <c r="D69" s="253">
        <v>45201</v>
      </c>
      <c r="E69" s="254" t="s">
        <v>439</v>
      </c>
      <c r="F69" s="250"/>
      <c r="G69" s="253">
        <v>42279</v>
      </c>
      <c r="H69" s="751"/>
    </row>
    <row r="70" spans="4:8" x14ac:dyDescent="0.3">
      <c r="D70" s="253">
        <v>45317</v>
      </c>
      <c r="E70" s="254" t="s">
        <v>440</v>
      </c>
      <c r="F70" s="381"/>
      <c r="G70" s="382"/>
    </row>
    <row r="71" spans="4:8" ht="30" x14ac:dyDescent="0.3">
      <c r="D71" s="251">
        <v>45519</v>
      </c>
      <c r="E71" s="252" t="s">
        <v>438</v>
      </c>
      <c r="F71" s="383"/>
      <c r="G71" s="384"/>
    </row>
    <row r="72" spans="4:8" x14ac:dyDescent="0.3">
      <c r="D72" s="253">
        <v>45567</v>
      </c>
      <c r="E72" s="254" t="s">
        <v>439</v>
      </c>
      <c r="F72" s="383"/>
      <c r="G72" s="384"/>
    </row>
  </sheetData>
  <mergeCells count="8">
    <mergeCell ref="I20:I23"/>
    <mergeCell ref="D25:D28"/>
    <mergeCell ref="D20:D23"/>
    <mergeCell ref="H67:H69"/>
    <mergeCell ref="I60:I61"/>
    <mergeCell ref="B51:H51"/>
    <mergeCell ref="D30:D31"/>
    <mergeCell ref="D35:D36"/>
  </mergeCells>
  <phoneticPr fontId="68" type="noConversion"/>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7B992-93C7-4DBB-BE63-4E7236296E99}">
  <dimension ref="C2:H38"/>
  <sheetViews>
    <sheetView topLeftCell="B21" zoomScaleNormal="100" workbookViewId="0">
      <selection activeCell="C19" sqref="C19"/>
    </sheetView>
  </sheetViews>
  <sheetFormatPr defaultColWidth="8.77734375" defaultRowHeight="14.4" x14ac:dyDescent="0.3"/>
  <cols>
    <col min="1" max="1" width="11.21875" style="256" customWidth="1"/>
    <col min="2" max="2" width="13" style="256" customWidth="1"/>
    <col min="3" max="3" width="11.77734375" style="256" customWidth="1"/>
    <col min="4" max="4" width="15" style="256" customWidth="1"/>
    <col min="5" max="5" width="13.44140625" style="256" customWidth="1"/>
    <col min="6" max="6" width="16.44140625" style="256" customWidth="1"/>
    <col min="7" max="7" width="13.88671875" style="256" customWidth="1"/>
    <col min="8" max="8" width="15.21875" style="256" customWidth="1"/>
    <col min="9" max="16384" width="8.77734375" style="256"/>
  </cols>
  <sheetData>
    <row r="2" spans="3:8" ht="16.5" customHeight="1" x14ac:dyDescent="0.3">
      <c r="C2" s="661" t="s">
        <v>14</v>
      </c>
      <c r="D2" s="661" t="s">
        <v>18</v>
      </c>
      <c r="E2" s="661" t="s">
        <v>15</v>
      </c>
      <c r="F2" s="661" t="s">
        <v>16</v>
      </c>
      <c r="G2" s="661" t="s">
        <v>308</v>
      </c>
      <c r="H2" s="661" t="s">
        <v>308</v>
      </c>
    </row>
    <row r="3" spans="3:8" x14ac:dyDescent="0.3">
      <c r="C3" s="257">
        <v>1</v>
      </c>
      <c r="D3" s="258">
        <v>44576</v>
      </c>
      <c r="E3" s="257" t="s">
        <v>2</v>
      </c>
      <c r="F3" s="257" t="s">
        <v>3</v>
      </c>
      <c r="G3" s="259">
        <v>1000</v>
      </c>
      <c r="H3" s="259">
        <v>5900</v>
      </c>
    </row>
    <row r="4" spans="3:8" x14ac:dyDescent="0.3">
      <c r="C4" s="260">
        <v>2</v>
      </c>
      <c r="D4" s="258">
        <v>44562</v>
      </c>
      <c r="E4" s="260" t="s">
        <v>4</v>
      </c>
      <c r="F4" s="260" t="s">
        <v>5</v>
      </c>
      <c r="G4" s="261">
        <v>1000</v>
      </c>
      <c r="H4" s="259">
        <v>1000</v>
      </c>
    </row>
    <row r="5" spans="3:8" x14ac:dyDescent="0.3">
      <c r="C5" s="257">
        <v>3</v>
      </c>
      <c r="D5" s="258">
        <v>44572</v>
      </c>
      <c r="E5" s="257" t="s">
        <v>6</v>
      </c>
      <c r="F5" s="257" t="s">
        <v>7</v>
      </c>
      <c r="G5" s="261">
        <v>1000</v>
      </c>
      <c r="H5" s="261">
        <v>1000</v>
      </c>
    </row>
    <row r="6" spans="3:8" x14ac:dyDescent="0.3">
      <c r="C6" s="260">
        <v>4</v>
      </c>
      <c r="D6" s="258">
        <v>45294</v>
      </c>
      <c r="E6" s="260" t="s">
        <v>8</v>
      </c>
      <c r="F6" s="260" t="s">
        <v>9</v>
      </c>
      <c r="G6" s="261">
        <v>1000</v>
      </c>
      <c r="H6" s="261">
        <v>1000</v>
      </c>
    </row>
    <row r="7" spans="3:8" x14ac:dyDescent="0.3">
      <c r="C7" s="257">
        <v>5</v>
      </c>
      <c r="D7" s="258">
        <v>44761</v>
      </c>
      <c r="E7" s="257" t="s">
        <v>10</v>
      </c>
      <c r="F7" s="257" t="s">
        <v>11</v>
      </c>
      <c r="G7" s="259">
        <v>1200</v>
      </c>
      <c r="H7" s="261">
        <v>1000</v>
      </c>
    </row>
    <row r="8" spans="3:8" x14ac:dyDescent="0.3">
      <c r="C8" s="257">
        <v>6</v>
      </c>
      <c r="D8" s="258">
        <v>44786</v>
      </c>
      <c r="E8" s="260" t="s">
        <v>12</v>
      </c>
      <c r="F8" s="260" t="s">
        <v>13</v>
      </c>
      <c r="G8" s="259">
        <v>1500</v>
      </c>
      <c r="H8" s="259">
        <v>1200</v>
      </c>
    </row>
    <row r="9" spans="3:8" x14ac:dyDescent="0.3">
      <c r="C9" s="260">
        <v>7</v>
      </c>
      <c r="D9" s="258">
        <v>44569</v>
      </c>
      <c r="E9" s="260" t="s">
        <v>0</v>
      </c>
      <c r="F9" s="260" t="s">
        <v>1</v>
      </c>
      <c r="G9" s="261">
        <v>2000</v>
      </c>
      <c r="H9" s="259">
        <v>1500</v>
      </c>
    </row>
    <row r="10" spans="3:8" x14ac:dyDescent="0.3">
      <c r="C10" s="257">
        <v>8</v>
      </c>
      <c r="D10" s="258">
        <v>44568</v>
      </c>
      <c r="E10" s="257" t="s">
        <v>0</v>
      </c>
      <c r="F10" s="257" t="s">
        <v>1</v>
      </c>
      <c r="G10" s="261">
        <v>2200</v>
      </c>
      <c r="H10" s="261">
        <v>2000</v>
      </c>
    </row>
    <row r="11" spans="3:8" x14ac:dyDescent="0.3">
      <c r="C11" s="260">
        <v>9</v>
      </c>
      <c r="D11" s="258">
        <v>44567</v>
      </c>
      <c r="E11" s="260" t="s">
        <v>2</v>
      </c>
      <c r="F11" s="260" t="s">
        <v>3</v>
      </c>
      <c r="G11" s="261">
        <v>2300</v>
      </c>
      <c r="H11" s="261">
        <v>2200</v>
      </c>
    </row>
    <row r="12" spans="3:8" x14ac:dyDescent="0.3">
      <c r="C12" s="257">
        <v>10</v>
      </c>
      <c r="D12" s="258">
        <v>45304</v>
      </c>
      <c r="E12" s="257" t="s">
        <v>4</v>
      </c>
      <c r="F12" s="257" t="s">
        <v>5</v>
      </c>
      <c r="G12" s="261">
        <v>2800</v>
      </c>
      <c r="H12" s="261">
        <v>2300</v>
      </c>
    </row>
    <row r="13" spans="3:8" x14ac:dyDescent="0.3">
      <c r="C13" s="257">
        <v>11</v>
      </c>
      <c r="D13" s="258">
        <v>44698</v>
      </c>
      <c r="E13" s="260" t="s">
        <v>6</v>
      </c>
      <c r="F13" s="260" t="s">
        <v>7</v>
      </c>
      <c r="G13" s="261">
        <v>3000</v>
      </c>
      <c r="H13" s="261">
        <v>2800</v>
      </c>
    </row>
    <row r="14" spans="3:8" x14ac:dyDescent="0.3">
      <c r="C14" s="260">
        <v>12</v>
      </c>
      <c r="D14" s="258">
        <v>44691</v>
      </c>
      <c r="E14" s="257" t="s">
        <v>8</v>
      </c>
      <c r="F14" s="257" t="s">
        <v>9</v>
      </c>
      <c r="G14" s="259">
        <v>3300</v>
      </c>
      <c r="H14" s="261">
        <v>3000</v>
      </c>
    </row>
    <row r="15" spans="3:8" x14ac:dyDescent="0.3">
      <c r="C15" s="257">
        <v>13</v>
      </c>
      <c r="D15" s="258">
        <v>44581</v>
      </c>
      <c r="E15" s="260" t="s">
        <v>10</v>
      </c>
      <c r="F15" s="260" t="s">
        <v>11</v>
      </c>
      <c r="G15" s="259">
        <v>3330</v>
      </c>
      <c r="H15" s="259">
        <v>3300</v>
      </c>
    </row>
    <row r="16" spans="3:8" x14ac:dyDescent="0.3">
      <c r="C16" s="260">
        <v>14</v>
      </c>
      <c r="D16" s="258">
        <v>44930</v>
      </c>
      <c r="E16" s="257" t="s">
        <v>12</v>
      </c>
      <c r="F16" s="257" t="s">
        <v>13</v>
      </c>
      <c r="G16" s="259">
        <v>3500</v>
      </c>
      <c r="H16" s="259">
        <v>3330</v>
      </c>
    </row>
    <row r="17" spans="3:8" x14ac:dyDescent="0.3">
      <c r="C17" s="257">
        <v>15</v>
      </c>
      <c r="D17" s="262">
        <v>45297</v>
      </c>
      <c r="E17" s="260" t="s">
        <v>0</v>
      </c>
      <c r="F17" s="260" t="s">
        <v>1</v>
      </c>
      <c r="G17" s="261">
        <v>3700</v>
      </c>
      <c r="H17" s="259">
        <v>3500</v>
      </c>
    </row>
    <row r="18" spans="3:8" x14ac:dyDescent="0.3">
      <c r="C18" s="257">
        <v>16</v>
      </c>
      <c r="D18" s="263">
        <v>44571</v>
      </c>
      <c r="E18" s="257" t="s">
        <v>2</v>
      </c>
      <c r="F18" s="257" t="s">
        <v>3</v>
      </c>
      <c r="G18" s="261">
        <v>4000</v>
      </c>
      <c r="H18" s="261">
        <v>3700</v>
      </c>
    </row>
    <row r="19" spans="3:8" x14ac:dyDescent="0.3">
      <c r="C19" s="260">
        <v>17</v>
      </c>
      <c r="D19" s="258">
        <v>45665</v>
      </c>
      <c r="E19" s="260" t="s">
        <v>4</v>
      </c>
      <c r="F19" s="260" t="s">
        <v>5</v>
      </c>
      <c r="G19" s="261">
        <v>4000</v>
      </c>
      <c r="H19" s="261">
        <v>4000</v>
      </c>
    </row>
    <row r="20" spans="3:8" x14ac:dyDescent="0.3">
      <c r="C20" s="257">
        <v>18</v>
      </c>
      <c r="D20" s="258">
        <v>44576</v>
      </c>
      <c r="E20" s="257" t="s">
        <v>6</v>
      </c>
      <c r="F20" s="257" t="s">
        <v>7</v>
      </c>
      <c r="G20" s="259">
        <v>4000</v>
      </c>
      <c r="H20" s="261">
        <v>4000</v>
      </c>
    </row>
    <row r="21" spans="3:8" x14ac:dyDescent="0.3">
      <c r="C21" s="260">
        <v>19</v>
      </c>
      <c r="D21" s="258">
        <v>44562</v>
      </c>
      <c r="E21" s="260" t="s">
        <v>8</v>
      </c>
      <c r="F21" s="260" t="s">
        <v>9</v>
      </c>
      <c r="G21" s="259">
        <v>4200</v>
      </c>
      <c r="H21" s="259">
        <v>4000</v>
      </c>
    </row>
    <row r="22" spans="3:8" x14ac:dyDescent="0.3">
      <c r="C22" s="257">
        <v>20</v>
      </c>
      <c r="D22" s="258">
        <v>44572</v>
      </c>
      <c r="E22" s="257" t="s">
        <v>10</v>
      </c>
      <c r="F22" s="257" t="s">
        <v>11</v>
      </c>
      <c r="G22" s="259">
        <v>4500</v>
      </c>
      <c r="H22" s="259">
        <v>4200</v>
      </c>
    </row>
    <row r="23" spans="3:8" x14ac:dyDescent="0.3">
      <c r="C23" s="257">
        <v>21</v>
      </c>
      <c r="D23" s="258">
        <v>44564</v>
      </c>
      <c r="E23" s="260" t="s">
        <v>12</v>
      </c>
      <c r="F23" s="260" t="s">
        <v>13</v>
      </c>
      <c r="G23" s="261">
        <v>4700</v>
      </c>
      <c r="H23" s="259">
        <v>4500</v>
      </c>
    </row>
    <row r="24" spans="3:8" x14ac:dyDescent="0.3">
      <c r="C24" s="260">
        <v>22</v>
      </c>
      <c r="D24" s="258">
        <v>44761</v>
      </c>
      <c r="E24" s="257" t="s">
        <v>0</v>
      </c>
      <c r="F24" s="257" t="s">
        <v>1</v>
      </c>
      <c r="G24" s="259">
        <v>5000</v>
      </c>
      <c r="H24" s="261">
        <v>4700</v>
      </c>
    </row>
    <row r="25" spans="3:8" x14ac:dyDescent="0.3">
      <c r="C25" s="257">
        <v>23</v>
      </c>
      <c r="D25" s="258">
        <v>44786</v>
      </c>
      <c r="E25" s="260" t="s">
        <v>2</v>
      </c>
      <c r="F25" s="260" t="s">
        <v>3</v>
      </c>
      <c r="G25" s="261">
        <v>5200</v>
      </c>
      <c r="H25" s="259">
        <v>5000</v>
      </c>
    </row>
    <row r="26" spans="3:8" x14ac:dyDescent="0.3">
      <c r="C26" s="260">
        <v>24</v>
      </c>
      <c r="D26" s="258">
        <v>44568</v>
      </c>
      <c r="E26" s="257" t="s">
        <v>4</v>
      </c>
      <c r="F26" s="257" t="s">
        <v>5</v>
      </c>
      <c r="G26" s="261">
        <v>5300</v>
      </c>
      <c r="H26" s="261">
        <v>5200</v>
      </c>
    </row>
    <row r="27" spans="3:8" x14ac:dyDescent="0.3">
      <c r="C27" s="257">
        <v>25</v>
      </c>
      <c r="D27" s="258">
        <v>44567</v>
      </c>
      <c r="E27" s="260" t="s">
        <v>6</v>
      </c>
      <c r="F27" s="260" t="s">
        <v>7</v>
      </c>
      <c r="G27" s="259">
        <v>5700</v>
      </c>
      <c r="H27" s="261">
        <v>5300</v>
      </c>
    </row>
    <row r="28" spans="3:8" x14ac:dyDescent="0.3">
      <c r="C28" s="257">
        <v>26</v>
      </c>
      <c r="D28" s="258">
        <v>44574</v>
      </c>
      <c r="E28" s="257" t="s">
        <v>8</v>
      </c>
      <c r="F28" s="257" t="s">
        <v>9</v>
      </c>
      <c r="G28" s="259">
        <v>5900</v>
      </c>
      <c r="H28" s="259">
        <v>5700</v>
      </c>
    </row>
    <row r="29" spans="3:8" x14ac:dyDescent="0.3">
      <c r="C29" s="260">
        <v>27</v>
      </c>
      <c r="D29" s="258">
        <v>44698</v>
      </c>
      <c r="E29" s="260" t="s">
        <v>10</v>
      </c>
      <c r="F29" s="260" t="s">
        <v>11</v>
      </c>
      <c r="G29" s="261">
        <v>6000</v>
      </c>
      <c r="H29" s="261">
        <v>6000</v>
      </c>
    </row>
    <row r="30" spans="3:8" x14ac:dyDescent="0.3">
      <c r="C30" s="257">
        <v>28</v>
      </c>
      <c r="D30" s="258">
        <v>44691</v>
      </c>
      <c r="E30" s="257" t="s">
        <v>12</v>
      </c>
      <c r="F30" s="257" t="s">
        <v>13</v>
      </c>
      <c r="G30" s="259">
        <v>6600</v>
      </c>
      <c r="H30" s="259">
        <v>6600</v>
      </c>
    </row>
    <row r="31" spans="3:8" x14ac:dyDescent="0.3">
      <c r="C31" s="260">
        <v>29</v>
      </c>
      <c r="D31" s="258">
        <v>44581</v>
      </c>
      <c r="E31" s="260" t="s">
        <v>0</v>
      </c>
      <c r="F31" s="260" t="s">
        <v>1</v>
      </c>
      <c r="G31" s="261">
        <v>7000</v>
      </c>
      <c r="H31" s="261">
        <v>7000</v>
      </c>
    </row>
    <row r="32" spans="3:8" x14ac:dyDescent="0.3">
      <c r="C32" s="257">
        <v>30</v>
      </c>
      <c r="D32" s="258">
        <v>44930</v>
      </c>
      <c r="E32" s="257" t="s">
        <v>2</v>
      </c>
      <c r="F32" s="257" t="s">
        <v>3</v>
      </c>
      <c r="G32" s="261">
        <v>7300</v>
      </c>
      <c r="H32" s="261">
        <v>7300</v>
      </c>
    </row>
    <row r="33" spans="3:8" x14ac:dyDescent="0.3">
      <c r="C33" s="257">
        <v>31</v>
      </c>
      <c r="D33" s="262">
        <v>45297</v>
      </c>
      <c r="E33" s="260" t="s">
        <v>4</v>
      </c>
      <c r="F33" s="260" t="s">
        <v>5</v>
      </c>
      <c r="G33" s="259">
        <v>7400</v>
      </c>
      <c r="H33" s="259">
        <v>7400</v>
      </c>
    </row>
    <row r="34" spans="3:8" x14ac:dyDescent="0.3">
      <c r="C34" s="260">
        <v>32</v>
      </c>
      <c r="D34" s="263">
        <v>44571</v>
      </c>
      <c r="E34" s="257" t="s">
        <v>6</v>
      </c>
      <c r="F34" s="257" t="s">
        <v>7</v>
      </c>
      <c r="G34" s="259">
        <v>7800</v>
      </c>
      <c r="H34" s="259">
        <v>7800</v>
      </c>
    </row>
    <row r="35" spans="3:8" x14ac:dyDescent="0.3">
      <c r="C35" s="257">
        <v>33</v>
      </c>
      <c r="D35" s="258">
        <v>44873</v>
      </c>
      <c r="E35" s="260" t="s">
        <v>8</v>
      </c>
      <c r="F35" s="260" t="s">
        <v>9</v>
      </c>
      <c r="G35" s="259">
        <v>8000</v>
      </c>
      <c r="H35" s="259">
        <v>8000</v>
      </c>
    </row>
    <row r="36" spans="3:8" x14ac:dyDescent="0.3">
      <c r="C36" s="260">
        <v>34</v>
      </c>
      <c r="D36" s="258">
        <v>44880</v>
      </c>
      <c r="E36" s="257" t="s">
        <v>10</v>
      </c>
      <c r="F36" s="257" t="s">
        <v>11</v>
      </c>
      <c r="G36" s="259">
        <v>8800</v>
      </c>
      <c r="H36" s="259">
        <v>8800</v>
      </c>
    </row>
    <row r="37" spans="3:8" x14ac:dyDescent="0.3">
      <c r="C37" s="257">
        <v>35</v>
      </c>
      <c r="D37" s="258">
        <v>45972</v>
      </c>
      <c r="E37" s="260" t="s">
        <v>12</v>
      </c>
      <c r="F37" s="260" t="s">
        <v>13</v>
      </c>
      <c r="G37" s="261">
        <v>8900</v>
      </c>
      <c r="H37" s="261">
        <v>8900</v>
      </c>
    </row>
    <row r="38" spans="3:8" x14ac:dyDescent="0.3">
      <c r="C38" s="264" t="s">
        <v>43</v>
      </c>
      <c r="D38" s="264"/>
      <c r="E38" s="255"/>
      <c r="F38" s="264"/>
      <c r="G38" s="265"/>
      <c r="H38" s="265"/>
    </row>
  </sheetData>
  <sortState xmlns:xlrd2="http://schemas.microsoft.com/office/spreadsheetml/2017/richdata2" ref="H4:H37">
    <sortCondition ref="H3:H37"/>
  </sortState>
  <conditionalFormatting sqref="D3:D37">
    <cfRule type="timePeriod" dxfId="9" priority="7" timePeriod="nextMonth">
      <formula>AND(MONTH(D3)=MONTH(EDATE(TODAY(),0+1)),YEAR(D3)=YEAR(EDATE(TODAY(),0+1)))</formula>
    </cfRule>
  </conditionalFormatting>
  <conditionalFormatting sqref="E3:E37">
    <cfRule type="endsWith" dxfId="8" priority="4" operator="endsWith" text="ry">
      <formula>RIGHT(E3,LEN("ry"))="ry"</formula>
    </cfRule>
    <cfRule type="containsText" dxfId="7" priority="6" operator="containsText" text="mar">
      <formula>NOT(ISERROR(SEARCH("mar",E3)))</formula>
    </cfRule>
  </conditionalFormatting>
  <conditionalFormatting sqref="F3:F37">
    <cfRule type="endsWith" dxfId="6" priority="5" operator="endsWith" text="ry">
      <formula>RIGHT(F3,LEN("ry"))="ry"</formula>
    </cfRule>
  </conditionalFormatting>
  <conditionalFormatting sqref="F38">
    <cfRule type="top10" priority="8" rank="10"/>
  </conditionalFormatting>
  <conditionalFormatting sqref="G3:G37">
    <cfRule type="colorScale" priority="3">
      <colorScale>
        <cfvo type="min"/>
        <cfvo type="num" val="5500"/>
        <cfvo type="max"/>
        <color rgb="FFF8696B"/>
        <color rgb="FFFFEB84"/>
        <color theme="4" tint="-0.249977111117893"/>
      </colorScale>
    </cfRule>
  </conditionalFormatting>
  <conditionalFormatting sqref="G38">
    <cfRule type="dataBar" priority="11">
      <dataBar>
        <cfvo type="min"/>
        <cfvo type="max"/>
        <color rgb="FF63C384"/>
      </dataBar>
      <extLst>
        <ext xmlns:x14="http://schemas.microsoft.com/office/spreadsheetml/2009/9/main" uri="{B025F937-C7B1-47D3-B67F-A62EFF666E3E}">
          <x14:id>{3A5F2BB5-5470-4FF4-84DA-999D098DBA3F}</x14:id>
        </ext>
      </extLst>
    </cfRule>
  </conditionalFormatting>
  <conditionalFormatting sqref="H3:H37">
    <cfRule type="top10" dxfId="5" priority="1" rank="5"/>
    <cfRule type="duplicateValues" dxfId="4" priority="2"/>
  </conditionalFormatting>
  <conditionalFormatting sqref="H38">
    <cfRule type="colorScale" priority="10">
      <colorScale>
        <cfvo type="min"/>
        <cfvo type="percentile" val="50"/>
        <cfvo type="max"/>
        <color rgb="FFF8696B"/>
        <color rgb="FFFFEB84"/>
        <color rgb="FF63BE7B"/>
      </colorScale>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3A5F2BB5-5470-4FF4-84DA-999D098DBA3F}">
            <x14:dataBar minLength="0" maxLength="100" border="1" negativeBarBorderColorSameAsPositive="0">
              <x14:cfvo type="autoMin"/>
              <x14:cfvo type="autoMax"/>
              <x14:borderColor rgb="FF63C384"/>
              <x14:negativeFillColor rgb="FFFF0000"/>
              <x14:negativeBorderColor rgb="FFFF0000"/>
              <x14:axisColor rgb="FF000000"/>
            </x14:dataBar>
          </x14:cfRule>
          <xm:sqref>G38</xm:sqref>
        </x14:conditionalFormatting>
      </x14:conditionalFormatting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E88E8-771B-42E7-B9E5-DB4D002175B9}">
  <dimension ref="B2:L45"/>
  <sheetViews>
    <sheetView workbookViewId="0">
      <selection activeCell="C19" sqref="C19"/>
    </sheetView>
  </sheetViews>
  <sheetFormatPr defaultColWidth="8.77734375" defaultRowHeight="14.4" x14ac:dyDescent="0.3"/>
  <cols>
    <col min="1" max="1" width="7.21875" style="190" customWidth="1"/>
    <col min="2" max="2" width="9.44140625" style="190" customWidth="1"/>
    <col min="3" max="3" width="12.44140625" style="190" customWidth="1"/>
    <col min="4" max="4" width="14" style="190" customWidth="1"/>
    <col min="5" max="5" width="15.5546875" style="190" customWidth="1"/>
    <col min="6" max="6" width="15.33203125" style="190" customWidth="1"/>
    <col min="7" max="7" width="13.77734375" style="190" customWidth="1"/>
    <col min="8" max="8" width="12.6640625" style="190" customWidth="1"/>
    <col min="9" max="9" width="12.77734375" style="190" customWidth="1"/>
    <col min="10" max="11" width="8.77734375" style="190"/>
    <col min="12" max="12" width="24.88671875" style="190" customWidth="1"/>
    <col min="13" max="16384" width="8.77734375" style="190"/>
  </cols>
  <sheetData>
    <row r="2" spans="3:12" ht="13.95" customHeight="1" x14ac:dyDescent="0.3">
      <c r="C2" s="268" t="s">
        <v>14</v>
      </c>
      <c r="D2" s="268" t="s">
        <v>18</v>
      </c>
      <c r="E2" s="268" t="s">
        <v>15</v>
      </c>
      <c r="F2" s="268" t="s">
        <v>16</v>
      </c>
      <c r="G2" s="268" t="s">
        <v>308</v>
      </c>
      <c r="H2" s="268" t="s">
        <v>308</v>
      </c>
      <c r="I2" s="268" t="s">
        <v>308</v>
      </c>
    </row>
    <row r="3" spans="3:12" x14ac:dyDescent="0.3">
      <c r="C3" s="266">
        <v>1</v>
      </c>
      <c r="D3" s="269">
        <v>44576</v>
      </c>
      <c r="E3" s="266" t="s">
        <v>2</v>
      </c>
      <c r="F3" s="266" t="s">
        <v>3</v>
      </c>
      <c r="G3" s="270">
        <v>1000</v>
      </c>
      <c r="H3" s="270">
        <v>5900</v>
      </c>
      <c r="I3" s="270">
        <v>5900</v>
      </c>
      <c r="L3" s="190" t="s">
        <v>2</v>
      </c>
    </row>
    <row r="4" spans="3:12" x14ac:dyDescent="0.3">
      <c r="C4" s="267">
        <v>2</v>
      </c>
      <c r="D4" s="269">
        <v>44562</v>
      </c>
      <c r="E4" s="267" t="s">
        <v>4</v>
      </c>
      <c r="F4" s="267" t="s">
        <v>5</v>
      </c>
      <c r="G4" s="271">
        <v>1000</v>
      </c>
      <c r="H4" s="271">
        <v>7000</v>
      </c>
      <c r="I4" s="271">
        <v>7000</v>
      </c>
      <c r="L4" s="190">
        <v>3500</v>
      </c>
    </row>
    <row r="5" spans="3:12" x14ac:dyDescent="0.3">
      <c r="C5" s="266">
        <v>3</v>
      </c>
      <c r="D5" s="269">
        <v>44572</v>
      </c>
      <c r="E5" s="266" t="s">
        <v>6</v>
      </c>
      <c r="F5" s="266" t="s">
        <v>7</v>
      </c>
      <c r="G5" s="271">
        <v>1000</v>
      </c>
      <c r="H5" s="270">
        <v>3300</v>
      </c>
      <c r="I5" s="270">
        <v>3300</v>
      </c>
    </row>
    <row r="6" spans="3:12" x14ac:dyDescent="0.3">
      <c r="C6" s="266">
        <v>4</v>
      </c>
      <c r="D6" s="269">
        <v>44564</v>
      </c>
      <c r="E6" s="267" t="s">
        <v>8</v>
      </c>
      <c r="F6" s="267" t="s">
        <v>9</v>
      </c>
      <c r="G6" s="271">
        <v>1000</v>
      </c>
      <c r="H6" s="271">
        <v>3000</v>
      </c>
      <c r="I6" s="271">
        <v>3000</v>
      </c>
    </row>
    <row r="7" spans="3:12" x14ac:dyDescent="0.3">
      <c r="C7" s="267">
        <v>5</v>
      </c>
      <c r="D7" s="269">
        <v>44761</v>
      </c>
      <c r="E7" s="266" t="s">
        <v>10</v>
      </c>
      <c r="F7" s="266" t="s">
        <v>11</v>
      </c>
      <c r="G7" s="270">
        <v>1200</v>
      </c>
      <c r="H7" s="270">
        <v>4500</v>
      </c>
      <c r="I7" s="270">
        <v>4500</v>
      </c>
    </row>
    <row r="8" spans="3:12" x14ac:dyDescent="0.3">
      <c r="C8" s="266">
        <v>6</v>
      </c>
      <c r="D8" s="269">
        <v>44786</v>
      </c>
      <c r="E8" s="267" t="s">
        <v>12</v>
      </c>
      <c r="F8" s="267" t="s">
        <v>13</v>
      </c>
      <c r="G8" s="270">
        <v>1500</v>
      </c>
      <c r="H8" s="271">
        <v>4000</v>
      </c>
      <c r="I8" s="271">
        <v>4000</v>
      </c>
    </row>
    <row r="9" spans="3:12" x14ac:dyDescent="0.3">
      <c r="C9" s="266">
        <v>7</v>
      </c>
      <c r="D9" s="269">
        <v>44569</v>
      </c>
      <c r="E9" s="267" t="s">
        <v>0</v>
      </c>
      <c r="F9" s="267" t="s">
        <v>1</v>
      </c>
      <c r="G9" s="271">
        <v>2000</v>
      </c>
      <c r="H9" s="271">
        <v>2000</v>
      </c>
      <c r="I9" s="271">
        <v>2000</v>
      </c>
    </row>
    <row r="10" spans="3:12" x14ac:dyDescent="0.3">
      <c r="C10" s="267">
        <v>8</v>
      </c>
      <c r="D10" s="269">
        <v>44568</v>
      </c>
      <c r="E10" s="266" t="s">
        <v>0</v>
      </c>
      <c r="F10" s="266" t="s">
        <v>1</v>
      </c>
      <c r="G10" s="271">
        <v>2200</v>
      </c>
      <c r="H10" s="270">
        <v>1000</v>
      </c>
      <c r="I10" s="270">
        <v>1000</v>
      </c>
    </row>
    <row r="11" spans="3:12" x14ac:dyDescent="0.3">
      <c r="C11" s="266">
        <v>9</v>
      </c>
      <c r="D11" s="269">
        <v>44567</v>
      </c>
      <c r="E11" s="267" t="s">
        <v>2</v>
      </c>
      <c r="F11" s="267" t="s">
        <v>3</v>
      </c>
      <c r="G11" s="271">
        <v>2300</v>
      </c>
      <c r="H11" s="271">
        <v>5300</v>
      </c>
      <c r="I11" s="271">
        <v>5300</v>
      </c>
    </row>
    <row r="12" spans="3:12" x14ac:dyDescent="0.3">
      <c r="C12" s="266">
        <v>10</v>
      </c>
      <c r="D12" s="269">
        <v>44574</v>
      </c>
      <c r="E12" s="266" t="s">
        <v>4</v>
      </c>
      <c r="F12" s="266" t="s">
        <v>5</v>
      </c>
      <c r="G12" s="271">
        <v>2800</v>
      </c>
      <c r="H12" s="270">
        <v>1500</v>
      </c>
      <c r="I12" s="270">
        <v>1500</v>
      </c>
    </row>
    <row r="13" spans="3:12" x14ac:dyDescent="0.3">
      <c r="C13" s="267">
        <v>11</v>
      </c>
      <c r="D13" s="269">
        <v>44698</v>
      </c>
      <c r="E13" s="267" t="s">
        <v>6</v>
      </c>
      <c r="F13" s="267" t="s">
        <v>7</v>
      </c>
      <c r="G13" s="271">
        <v>3000</v>
      </c>
      <c r="H13" s="271">
        <v>2800</v>
      </c>
      <c r="I13" s="271">
        <v>2800</v>
      </c>
    </row>
    <row r="14" spans="3:12" x14ac:dyDescent="0.3">
      <c r="C14" s="266">
        <v>12</v>
      </c>
      <c r="D14" s="269">
        <v>44691</v>
      </c>
      <c r="E14" s="266" t="s">
        <v>8</v>
      </c>
      <c r="F14" s="266" t="s">
        <v>9</v>
      </c>
      <c r="G14" s="270">
        <v>3300</v>
      </c>
      <c r="H14" s="270">
        <v>8000</v>
      </c>
      <c r="I14" s="270">
        <v>8000</v>
      </c>
    </row>
    <row r="15" spans="3:12" x14ac:dyDescent="0.3">
      <c r="C15" s="267">
        <v>13</v>
      </c>
      <c r="D15" s="269">
        <v>44581</v>
      </c>
      <c r="E15" s="267" t="s">
        <v>10</v>
      </c>
      <c r="F15" s="267" t="s">
        <v>11</v>
      </c>
      <c r="G15" s="270">
        <v>3330</v>
      </c>
      <c r="H15" s="271">
        <v>4000</v>
      </c>
      <c r="I15" s="271">
        <v>4000</v>
      </c>
    </row>
    <row r="16" spans="3:12" x14ac:dyDescent="0.3">
      <c r="C16" s="266">
        <v>14</v>
      </c>
      <c r="D16" s="269">
        <v>44930</v>
      </c>
      <c r="E16" s="266" t="s">
        <v>12</v>
      </c>
      <c r="F16" s="266" t="s">
        <v>13</v>
      </c>
      <c r="G16" s="270">
        <v>3500</v>
      </c>
      <c r="H16" s="270">
        <v>7800</v>
      </c>
      <c r="I16" s="270">
        <v>7800</v>
      </c>
    </row>
    <row r="17" spans="3:9" x14ac:dyDescent="0.3">
      <c r="C17" s="266">
        <v>15</v>
      </c>
      <c r="D17" s="272">
        <v>45297</v>
      </c>
      <c r="E17" s="267" t="s">
        <v>0</v>
      </c>
      <c r="F17" s="267" t="s">
        <v>1</v>
      </c>
      <c r="G17" s="271">
        <v>3700</v>
      </c>
      <c r="H17" s="271">
        <v>1000</v>
      </c>
      <c r="I17" s="271">
        <v>1000</v>
      </c>
    </row>
    <row r="18" spans="3:9" x14ac:dyDescent="0.3">
      <c r="C18" s="267">
        <v>16</v>
      </c>
      <c r="D18" s="273">
        <v>44571</v>
      </c>
      <c r="E18" s="266" t="s">
        <v>2</v>
      </c>
      <c r="F18" s="266" t="s">
        <v>3</v>
      </c>
      <c r="G18" s="271">
        <v>4000</v>
      </c>
      <c r="H18" s="270">
        <v>5000</v>
      </c>
      <c r="I18" s="270">
        <v>5000</v>
      </c>
    </row>
    <row r="19" spans="3:9" x14ac:dyDescent="0.3">
      <c r="C19" s="266">
        <v>17</v>
      </c>
      <c r="D19" s="269">
        <v>44569</v>
      </c>
      <c r="E19" s="267" t="s">
        <v>4</v>
      </c>
      <c r="F19" s="267" t="s">
        <v>5</v>
      </c>
      <c r="G19" s="271">
        <v>4000</v>
      </c>
      <c r="H19" s="271">
        <v>7300</v>
      </c>
      <c r="I19" s="271">
        <v>7300</v>
      </c>
    </row>
    <row r="20" spans="3:9" x14ac:dyDescent="0.3">
      <c r="C20" s="266">
        <v>18</v>
      </c>
      <c r="D20" s="269">
        <v>44576</v>
      </c>
      <c r="E20" s="266" t="s">
        <v>6</v>
      </c>
      <c r="F20" s="266" t="s">
        <v>7</v>
      </c>
      <c r="G20" s="270">
        <v>4000</v>
      </c>
      <c r="H20" s="270">
        <v>3500</v>
      </c>
      <c r="I20" s="270">
        <v>3500</v>
      </c>
    </row>
    <row r="21" spans="3:9" x14ac:dyDescent="0.3">
      <c r="C21" s="267">
        <v>19</v>
      </c>
      <c r="D21" s="269">
        <v>44562</v>
      </c>
      <c r="E21" s="267" t="s">
        <v>8</v>
      </c>
      <c r="F21" s="267" t="s">
        <v>9</v>
      </c>
      <c r="G21" s="270">
        <v>4200</v>
      </c>
      <c r="H21" s="271">
        <v>2200</v>
      </c>
      <c r="I21" s="271">
        <v>2200</v>
      </c>
    </row>
    <row r="22" spans="3:9" x14ac:dyDescent="0.3">
      <c r="C22" s="266">
        <v>20</v>
      </c>
      <c r="D22" s="269">
        <v>44572</v>
      </c>
      <c r="E22" s="266" t="s">
        <v>10</v>
      </c>
      <c r="F22" s="266" t="s">
        <v>11</v>
      </c>
      <c r="G22" s="270">
        <v>4500</v>
      </c>
      <c r="H22" s="270">
        <v>8800</v>
      </c>
      <c r="I22" s="270">
        <v>8800</v>
      </c>
    </row>
    <row r="23" spans="3:9" x14ac:dyDescent="0.3">
      <c r="C23" s="266">
        <v>21</v>
      </c>
      <c r="D23" s="269">
        <v>44564</v>
      </c>
      <c r="E23" s="267" t="s">
        <v>12</v>
      </c>
      <c r="F23" s="267" t="s">
        <v>13</v>
      </c>
      <c r="G23" s="271">
        <v>4700</v>
      </c>
      <c r="H23" s="271">
        <v>2300</v>
      </c>
      <c r="I23" s="271">
        <v>2300</v>
      </c>
    </row>
    <row r="24" spans="3:9" x14ac:dyDescent="0.3">
      <c r="C24" s="267">
        <v>22</v>
      </c>
      <c r="D24" s="269">
        <v>44761</v>
      </c>
      <c r="E24" s="266" t="s">
        <v>0</v>
      </c>
      <c r="F24" s="266" t="s">
        <v>1</v>
      </c>
      <c r="G24" s="270">
        <v>5000</v>
      </c>
      <c r="H24" s="270">
        <v>1200</v>
      </c>
      <c r="I24" s="270">
        <v>1200</v>
      </c>
    </row>
    <row r="25" spans="3:9" x14ac:dyDescent="0.3">
      <c r="C25" s="266">
        <v>23</v>
      </c>
      <c r="D25" s="269">
        <v>44786</v>
      </c>
      <c r="E25" s="267" t="s">
        <v>2</v>
      </c>
      <c r="F25" s="267" t="s">
        <v>3</v>
      </c>
      <c r="G25" s="271">
        <v>5200</v>
      </c>
      <c r="H25" s="271">
        <v>8900</v>
      </c>
      <c r="I25" s="271">
        <v>8900</v>
      </c>
    </row>
    <row r="26" spans="3:9" x14ac:dyDescent="0.3">
      <c r="C26" s="267">
        <v>24</v>
      </c>
      <c r="D26" s="269">
        <v>44568</v>
      </c>
      <c r="E26" s="266" t="s">
        <v>4</v>
      </c>
      <c r="F26" s="266" t="s">
        <v>5</v>
      </c>
      <c r="G26" s="271">
        <v>5300</v>
      </c>
      <c r="H26" s="270">
        <v>5700</v>
      </c>
      <c r="I26" s="270">
        <v>5700</v>
      </c>
    </row>
    <row r="27" spans="3:9" x14ac:dyDescent="0.3">
      <c r="C27" s="266">
        <v>25</v>
      </c>
      <c r="D27" s="269">
        <v>44567</v>
      </c>
      <c r="E27" s="267" t="s">
        <v>6</v>
      </c>
      <c r="F27" s="267" t="s">
        <v>7</v>
      </c>
      <c r="G27" s="270">
        <v>5700</v>
      </c>
      <c r="H27" s="271">
        <v>3700</v>
      </c>
      <c r="I27" s="271">
        <v>3700</v>
      </c>
    </row>
    <row r="28" spans="3:9" x14ac:dyDescent="0.3">
      <c r="C28" s="266">
        <v>26</v>
      </c>
      <c r="D28" s="269">
        <v>44574</v>
      </c>
      <c r="E28" s="266" t="s">
        <v>8</v>
      </c>
      <c r="F28" s="266" t="s">
        <v>9</v>
      </c>
      <c r="G28" s="270">
        <v>5900</v>
      </c>
      <c r="H28" s="270">
        <v>3330</v>
      </c>
      <c r="I28" s="270">
        <v>3330</v>
      </c>
    </row>
    <row r="29" spans="3:9" x14ac:dyDescent="0.3">
      <c r="C29" s="267">
        <v>27</v>
      </c>
      <c r="D29" s="269">
        <v>44698</v>
      </c>
      <c r="E29" s="267" t="s">
        <v>10</v>
      </c>
      <c r="F29" s="267" t="s">
        <v>11</v>
      </c>
      <c r="G29" s="271">
        <v>6000</v>
      </c>
      <c r="H29" s="271">
        <v>4700</v>
      </c>
      <c r="I29" s="271">
        <v>4700</v>
      </c>
    </row>
    <row r="30" spans="3:9" x14ac:dyDescent="0.3">
      <c r="C30" s="266">
        <v>28</v>
      </c>
      <c r="D30" s="269">
        <v>44691</v>
      </c>
      <c r="E30" s="266" t="s">
        <v>12</v>
      </c>
      <c r="F30" s="266" t="s">
        <v>13</v>
      </c>
      <c r="G30" s="270">
        <v>6600</v>
      </c>
      <c r="H30" s="270">
        <v>4200</v>
      </c>
      <c r="I30" s="270">
        <v>4200</v>
      </c>
    </row>
    <row r="31" spans="3:9" x14ac:dyDescent="0.3">
      <c r="C31" s="266">
        <v>29</v>
      </c>
      <c r="D31" s="269">
        <v>44581</v>
      </c>
      <c r="E31" s="267" t="s">
        <v>0</v>
      </c>
      <c r="F31" s="267" t="s">
        <v>1</v>
      </c>
      <c r="G31" s="271">
        <v>7000</v>
      </c>
      <c r="H31" s="271">
        <v>1000</v>
      </c>
      <c r="I31" s="271">
        <v>1000</v>
      </c>
    </row>
    <row r="32" spans="3:9" x14ac:dyDescent="0.3">
      <c r="C32" s="267">
        <v>30</v>
      </c>
      <c r="D32" s="269">
        <v>44930</v>
      </c>
      <c r="E32" s="266" t="s">
        <v>2</v>
      </c>
      <c r="F32" s="266" t="s">
        <v>3</v>
      </c>
      <c r="G32" s="271">
        <v>7300</v>
      </c>
      <c r="H32" s="270">
        <v>6600</v>
      </c>
      <c r="I32" s="270">
        <v>6600</v>
      </c>
    </row>
    <row r="33" spans="2:9" x14ac:dyDescent="0.3">
      <c r="C33" s="266">
        <v>31</v>
      </c>
      <c r="D33" s="272">
        <v>45297</v>
      </c>
      <c r="E33" s="267" t="s">
        <v>4</v>
      </c>
      <c r="F33" s="267" t="s">
        <v>5</v>
      </c>
      <c r="G33" s="270">
        <v>7400</v>
      </c>
      <c r="H33" s="271">
        <v>1000</v>
      </c>
      <c r="I33" s="271">
        <v>1000</v>
      </c>
    </row>
    <row r="34" spans="2:9" x14ac:dyDescent="0.3">
      <c r="C34" s="266">
        <v>32</v>
      </c>
      <c r="D34" s="273">
        <v>44571</v>
      </c>
      <c r="E34" s="266" t="s">
        <v>6</v>
      </c>
      <c r="F34" s="266" t="s">
        <v>7</v>
      </c>
      <c r="G34" s="270">
        <v>7800</v>
      </c>
      <c r="H34" s="270">
        <v>7400</v>
      </c>
      <c r="I34" s="270">
        <v>7400</v>
      </c>
    </row>
    <row r="35" spans="2:9" x14ac:dyDescent="0.3">
      <c r="C35" s="267">
        <v>33</v>
      </c>
      <c r="D35" s="269">
        <v>44873</v>
      </c>
      <c r="E35" s="267" t="s">
        <v>8</v>
      </c>
      <c r="F35" s="267" t="s">
        <v>9</v>
      </c>
      <c r="G35" s="270">
        <v>8000</v>
      </c>
      <c r="H35" s="271">
        <v>6000</v>
      </c>
      <c r="I35" s="271">
        <v>6000</v>
      </c>
    </row>
    <row r="36" spans="2:9" x14ac:dyDescent="0.3">
      <c r="C36" s="266">
        <v>34</v>
      </c>
      <c r="D36" s="269">
        <v>44880</v>
      </c>
      <c r="E36" s="266" t="s">
        <v>10</v>
      </c>
      <c r="F36" s="266" t="s">
        <v>11</v>
      </c>
      <c r="G36" s="270">
        <v>8800</v>
      </c>
      <c r="H36" s="270">
        <v>4000</v>
      </c>
      <c r="I36" s="270">
        <v>4000</v>
      </c>
    </row>
    <row r="37" spans="2:9" x14ac:dyDescent="0.3">
      <c r="C37" s="267">
        <v>35</v>
      </c>
      <c r="D37" s="269">
        <v>44876</v>
      </c>
      <c r="E37" s="267" t="s">
        <v>12</v>
      </c>
      <c r="F37" s="267" t="s">
        <v>13</v>
      </c>
      <c r="G37" s="271">
        <v>8900</v>
      </c>
      <c r="H37" s="271">
        <v>5200</v>
      </c>
      <c r="I37" s="271">
        <v>5200</v>
      </c>
    </row>
    <row r="38" spans="2:9" x14ac:dyDescent="0.3">
      <c r="C38" s="274"/>
      <c r="D38" s="274"/>
      <c r="E38" s="275"/>
      <c r="F38" s="274"/>
      <c r="G38" s="276"/>
      <c r="H38" s="276"/>
    </row>
    <row r="42" spans="2:9" x14ac:dyDescent="0.3">
      <c r="B42" s="190" t="s">
        <v>4</v>
      </c>
    </row>
    <row r="43" spans="2:9" x14ac:dyDescent="0.3">
      <c r="B43" s="190" t="s">
        <v>12</v>
      </c>
    </row>
    <row r="44" spans="2:9" x14ac:dyDescent="0.3">
      <c r="B44" s="190" t="s">
        <v>11</v>
      </c>
    </row>
    <row r="45" spans="2:9" x14ac:dyDescent="0.3">
      <c r="B45" s="190" t="s">
        <v>3</v>
      </c>
    </row>
  </sheetData>
  <sortState xmlns:xlrd2="http://schemas.microsoft.com/office/spreadsheetml/2017/richdata2" ref="C3:I37">
    <sortCondition ref="C3:C37"/>
  </sortState>
  <conditionalFormatting sqref="E3:E37">
    <cfRule type="expression" dxfId="3" priority="3">
      <formula>$E3=$L$3</formula>
    </cfRule>
  </conditionalFormatting>
  <conditionalFormatting sqref="G3:G37">
    <cfRule type="expression" dxfId="2" priority="2">
      <formula>$G3&gt;$L$4</formula>
    </cfRule>
    <cfRule type="top10" dxfId="1" priority="21" rank="3"/>
  </conditionalFormatting>
  <conditionalFormatting sqref="H3:H37">
    <cfRule type="duplicateValues" dxfId="0" priority="20"/>
  </conditionalFormatting>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75067-3B35-4F3B-A770-037594D7F8CC}">
  <dimension ref="B2:G20"/>
  <sheetViews>
    <sheetView topLeftCell="A3" workbookViewId="0">
      <selection activeCell="C19" sqref="C19"/>
    </sheetView>
  </sheetViews>
  <sheetFormatPr defaultColWidth="20.109375" defaultRowHeight="14.4" x14ac:dyDescent="0.3"/>
  <cols>
    <col min="1" max="1" width="9.21875" style="165" customWidth="1"/>
    <col min="2" max="2" width="14.6640625" style="165" customWidth="1"/>
    <col min="3" max="3" width="18.21875" style="165" customWidth="1"/>
    <col min="4" max="4" width="11.5546875" style="165" customWidth="1"/>
    <col min="5" max="5" width="15" style="165" customWidth="1"/>
    <col min="6" max="6" width="14.6640625" style="165" customWidth="1"/>
    <col min="7" max="7" width="14.5546875" style="165" customWidth="1"/>
    <col min="8" max="8" width="10.77734375" style="165" customWidth="1"/>
    <col min="9" max="9" width="15.77734375" style="165" customWidth="1"/>
    <col min="10" max="10" width="20.5546875" style="165" customWidth="1"/>
    <col min="11" max="11" width="20.109375" style="165"/>
    <col min="12" max="12" width="15.33203125" style="165" customWidth="1"/>
    <col min="13" max="16384" width="20.109375" style="165"/>
  </cols>
  <sheetData>
    <row r="2" spans="2:7" ht="18" customHeight="1" x14ac:dyDescent="0.3">
      <c r="B2" s="673" t="s">
        <v>18</v>
      </c>
      <c r="C2" s="674" t="s">
        <v>16</v>
      </c>
      <c r="D2" s="674" t="s">
        <v>19</v>
      </c>
      <c r="E2" s="674" t="s">
        <v>308</v>
      </c>
      <c r="F2" s="674" t="s">
        <v>309</v>
      </c>
      <c r="G2" s="674" t="s">
        <v>442</v>
      </c>
    </row>
    <row r="3" spans="2:7" ht="15.6" x14ac:dyDescent="0.3">
      <c r="B3" s="493">
        <v>38360</v>
      </c>
      <c r="C3" s="676" t="s">
        <v>25</v>
      </c>
      <c r="D3" s="677" t="s">
        <v>20</v>
      </c>
      <c r="E3" s="678">
        <v>2000</v>
      </c>
      <c r="F3" s="678">
        <v>5000</v>
      </c>
      <c r="G3" s="678">
        <f t="shared" ref="G3:G20" si="0">F3-E3</f>
        <v>3000</v>
      </c>
    </row>
    <row r="4" spans="2:7" ht="15.6" x14ac:dyDescent="0.3">
      <c r="B4" s="493">
        <v>36531</v>
      </c>
      <c r="C4" s="676" t="s">
        <v>21</v>
      </c>
      <c r="D4" s="677" t="s">
        <v>20</v>
      </c>
      <c r="E4" s="678">
        <v>4000</v>
      </c>
      <c r="F4" s="678">
        <v>6000</v>
      </c>
      <c r="G4" s="678">
        <f t="shared" si="0"/>
        <v>2000</v>
      </c>
    </row>
    <row r="5" spans="2:7" ht="15.6" x14ac:dyDescent="0.3">
      <c r="B5" s="493">
        <v>36542</v>
      </c>
      <c r="C5" s="676" t="s">
        <v>22</v>
      </c>
      <c r="D5" s="677" t="s">
        <v>20</v>
      </c>
      <c r="E5" s="678">
        <v>6000</v>
      </c>
      <c r="F5" s="678">
        <v>8000</v>
      </c>
      <c r="G5" s="678">
        <f t="shared" si="0"/>
        <v>2000</v>
      </c>
    </row>
    <row r="6" spans="2:7" ht="15.6" x14ac:dyDescent="0.3">
      <c r="B6" s="493">
        <v>36535</v>
      </c>
      <c r="C6" s="676" t="s">
        <v>22</v>
      </c>
      <c r="D6" s="677" t="s">
        <v>24</v>
      </c>
      <c r="E6" s="678">
        <v>8000</v>
      </c>
      <c r="F6" s="678">
        <v>10000</v>
      </c>
      <c r="G6" s="678">
        <f t="shared" si="0"/>
        <v>2000</v>
      </c>
    </row>
    <row r="7" spans="2:7" ht="15.6" x14ac:dyDescent="0.3">
      <c r="B7" s="493">
        <v>38052</v>
      </c>
      <c r="C7" s="676" t="s">
        <v>23</v>
      </c>
      <c r="D7" s="677" t="s">
        <v>20</v>
      </c>
      <c r="E7" s="678">
        <v>10000</v>
      </c>
      <c r="F7" s="678">
        <v>20000</v>
      </c>
      <c r="G7" s="678">
        <f t="shared" si="0"/>
        <v>10000</v>
      </c>
    </row>
    <row r="8" spans="2:7" ht="15.6" x14ac:dyDescent="0.3">
      <c r="B8" s="493">
        <v>36526</v>
      </c>
      <c r="C8" s="676" t="s">
        <v>26</v>
      </c>
      <c r="D8" s="677" t="s">
        <v>24</v>
      </c>
      <c r="E8" s="678">
        <v>14000</v>
      </c>
      <c r="F8" s="678">
        <v>18000</v>
      </c>
      <c r="G8" s="678">
        <f t="shared" si="0"/>
        <v>4000</v>
      </c>
    </row>
    <row r="9" spans="2:7" ht="15.6" x14ac:dyDescent="0.3">
      <c r="B9" s="493">
        <v>36528</v>
      </c>
      <c r="C9" s="676" t="s">
        <v>27</v>
      </c>
      <c r="D9" s="677" t="s">
        <v>24</v>
      </c>
      <c r="E9" s="678">
        <v>16000</v>
      </c>
      <c r="F9" s="678">
        <v>20000</v>
      </c>
      <c r="G9" s="678">
        <f t="shared" si="0"/>
        <v>4000</v>
      </c>
    </row>
    <row r="10" spans="2:7" ht="15.6" x14ac:dyDescent="0.3">
      <c r="B10" s="493">
        <v>38461</v>
      </c>
      <c r="C10" s="676" t="s">
        <v>27</v>
      </c>
      <c r="D10" s="676" t="s">
        <v>24</v>
      </c>
      <c r="E10" s="678">
        <v>18000</v>
      </c>
      <c r="F10" s="678">
        <v>25000</v>
      </c>
      <c r="G10" s="678">
        <f t="shared" si="0"/>
        <v>7000</v>
      </c>
    </row>
    <row r="11" spans="2:7" ht="15.6" x14ac:dyDescent="0.3">
      <c r="B11" s="493">
        <v>36545</v>
      </c>
      <c r="C11" s="676" t="s">
        <v>28</v>
      </c>
      <c r="D11" s="676" t="s">
        <v>24</v>
      </c>
      <c r="E11" s="678">
        <v>20000</v>
      </c>
      <c r="F11" s="678">
        <v>28000</v>
      </c>
      <c r="G11" s="678">
        <f t="shared" si="0"/>
        <v>8000</v>
      </c>
    </row>
    <row r="12" spans="2:7" ht="15.6" x14ac:dyDescent="0.3">
      <c r="B12" s="493">
        <v>36535</v>
      </c>
      <c r="C12" s="676" t="s">
        <v>29</v>
      </c>
      <c r="D12" s="677" t="s">
        <v>24</v>
      </c>
      <c r="E12" s="678">
        <v>25000</v>
      </c>
      <c r="F12" s="678">
        <v>30000</v>
      </c>
      <c r="G12" s="678">
        <f t="shared" si="0"/>
        <v>5000</v>
      </c>
    </row>
    <row r="13" spans="2:7" ht="15.6" x14ac:dyDescent="0.3">
      <c r="B13" s="493">
        <v>36540</v>
      </c>
      <c r="C13" s="676" t="s">
        <v>25</v>
      </c>
      <c r="D13" s="677" t="s">
        <v>30</v>
      </c>
      <c r="E13" s="678">
        <v>28000</v>
      </c>
      <c r="F13" s="678">
        <v>30000</v>
      </c>
      <c r="G13" s="678">
        <f t="shared" si="0"/>
        <v>2000</v>
      </c>
    </row>
    <row r="14" spans="2:7" ht="15.6" x14ac:dyDescent="0.3">
      <c r="B14" s="493">
        <v>39126</v>
      </c>
      <c r="C14" s="676" t="s">
        <v>31</v>
      </c>
      <c r="D14" s="677" t="s">
        <v>30</v>
      </c>
      <c r="E14" s="678">
        <v>30000</v>
      </c>
      <c r="F14" s="678">
        <v>38000</v>
      </c>
      <c r="G14" s="678">
        <f t="shared" si="0"/>
        <v>8000</v>
      </c>
    </row>
    <row r="15" spans="2:7" ht="15.6" x14ac:dyDescent="0.3">
      <c r="B15" s="493">
        <v>36538</v>
      </c>
      <c r="C15" s="676" t="s">
        <v>32</v>
      </c>
      <c r="D15" s="677" t="s">
        <v>30</v>
      </c>
      <c r="E15" s="678">
        <v>20000</v>
      </c>
      <c r="F15" s="678">
        <v>40000</v>
      </c>
      <c r="G15" s="678">
        <f t="shared" si="0"/>
        <v>20000</v>
      </c>
    </row>
    <row r="16" spans="2:7" ht="15.6" x14ac:dyDescent="0.3">
      <c r="B16" s="493">
        <v>36536</v>
      </c>
      <c r="C16" s="676" t="s">
        <v>26</v>
      </c>
      <c r="D16" s="677" t="s">
        <v>33</v>
      </c>
      <c r="E16" s="678">
        <v>36000</v>
      </c>
      <c r="F16" s="678">
        <v>30000</v>
      </c>
      <c r="G16" s="678">
        <f t="shared" si="0"/>
        <v>-6000</v>
      </c>
    </row>
    <row r="17" spans="2:7" ht="15.6" x14ac:dyDescent="0.3">
      <c r="B17" s="493">
        <v>40402</v>
      </c>
      <c r="C17" s="676" t="s">
        <v>26</v>
      </c>
      <c r="D17" s="677" t="s">
        <v>33</v>
      </c>
      <c r="E17" s="678">
        <v>50000</v>
      </c>
      <c r="F17" s="678">
        <v>55000</v>
      </c>
      <c r="G17" s="678">
        <f t="shared" si="0"/>
        <v>5000</v>
      </c>
    </row>
    <row r="18" spans="2:7" ht="15.6" x14ac:dyDescent="0.3">
      <c r="B18" s="493">
        <v>36532</v>
      </c>
      <c r="C18" s="676" t="s">
        <v>31</v>
      </c>
      <c r="D18" s="677" t="s">
        <v>33</v>
      </c>
      <c r="E18" s="678">
        <v>38000</v>
      </c>
      <c r="F18" s="678">
        <v>42000</v>
      </c>
      <c r="G18" s="678">
        <f t="shared" si="0"/>
        <v>4000</v>
      </c>
    </row>
    <row r="19" spans="2:7" ht="15.6" x14ac:dyDescent="0.3">
      <c r="B19" s="494">
        <v>40200</v>
      </c>
      <c r="C19" s="676" t="s">
        <v>22</v>
      </c>
      <c r="D19" s="676" t="s">
        <v>33</v>
      </c>
      <c r="E19" s="678">
        <v>40000</v>
      </c>
      <c r="F19" s="678">
        <v>35000</v>
      </c>
      <c r="G19" s="678">
        <f t="shared" si="0"/>
        <v>-5000</v>
      </c>
    </row>
    <row r="20" spans="2:7" ht="15.6" x14ac:dyDescent="0.3">
      <c r="B20" s="495">
        <v>36529</v>
      </c>
      <c r="C20" s="676" t="s">
        <v>28</v>
      </c>
      <c r="D20" s="677" t="s">
        <v>33</v>
      </c>
      <c r="E20" s="678">
        <v>42000</v>
      </c>
      <c r="F20" s="678">
        <v>30000</v>
      </c>
      <c r="G20" s="678">
        <f t="shared" si="0"/>
        <v>-12000</v>
      </c>
    </row>
  </sheetData>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F59CF-3E46-4915-99D7-9ECA06D2FBC4}">
  <dimension ref="B3:D19"/>
  <sheetViews>
    <sheetView workbookViewId="0">
      <selection activeCell="H4" sqref="H4"/>
    </sheetView>
  </sheetViews>
  <sheetFormatPr defaultRowHeight="14.4" x14ac:dyDescent="0.3"/>
  <cols>
    <col min="2" max="2" width="12.33203125" bestFit="1" customWidth="1"/>
    <col min="3" max="3" width="7" bestFit="1" customWidth="1"/>
    <col min="4" max="4" width="17" bestFit="1" customWidth="1"/>
  </cols>
  <sheetData>
    <row r="3" spans="2:4" x14ac:dyDescent="0.3">
      <c r="B3" s="279" t="s">
        <v>437</v>
      </c>
      <c r="C3" s="279" t="s">
        <v>18</v>
      </c>
      <c r="D3" t="s">
        <v>446</v>
      </c>
    </row>
    <row r="4" spans="2:4" x14ac:dyDescent="0.3">
      <c r="B4" t="s">
        <v>447</v>
      </c>
      <c r="C4" s="281" t="s">
        <v>448</v>
      </c>
      <c r="D4">
        <v>332000</v>
      </c>
    </row>
    <row r="5" spans="2:4" x14ac:dyDescent="0.3">
      <c r="B5" t="s">
        <v>456</v>
      </c>
      <c r="D5">
        <v>332000</v>
      </c>
    </row>
    <row r="7" spans="2:4" x14ac:dyDescent="0.3">
      <c r="B7" t="s">
        <v>449</v>
      </c>
      <c r="C7" s="281" t="s">
        <v>450</v>
      </c>
      <c r="D7">
        <v>20000</v>
      </c>
    </row>
    <row r="8" spans="2:4" x14ac:dyDescent="0.3">
      <c r="B8" t="s">
        <v>457</v>
      </c>
      <c r="D8">
        <v>20000</v>
      </c>
    </row>
    <row r="10" spans="2:4" x14ac:dyDescent="0.3">
      <c r="B10" t="s">
        <v>451</v>
      </c>
      <c r="C10" s="281" t="s">
        <v>452</v>
      </c>
      <c r="D10">
        <v>25000</v>
      </c>
    </row>
    <row r="11" spans="2:4" x14ac:dyDescent="0.3">
      <c r="B11" t="s">
        <v>458</v>
      </c>
      <c r="D11">
        <v>25000</v>
      </c>
    </row>
    <row r="13" spans="2:4" x14ac:dyDescent="0.3">
      <c r="B13" t="s">
        <v>453</v>
      </c>
      <c r="C13" s="281" t="s">
        <v>366</v>
      </c>
      <c r="D13">
        <v>38000</v>
      </c>
    </row>
    <row r="14" spans="2:4" x14ac:dyDescent="0.3">
      <c r="B14" t="s">
        <v>459</v>
      </c>
      <c r="D14">
        <v>38000</v>
      </c>
    </row>
    <row r="16" spans="2:4" x14ac:dyDescent="0.3">
      <c r="B16" t="s">
        <v>454</v>
      </c>
      <c r="C16" s="281" t="s">
        <v>455</v>
      </c>
      <c r="D16">
        <v>55000</v>
      </c>
    </row>
    <row r="17" spans="2:4" x14ac:dyDescent="0.3">
      <c r="B17" t="s">
        <v>460</v>
      </c>
      <c r="D17">
        <v>55000</v>
      </c>
    </row>
    <row r="19" spans="2:4" x14ac:dyDescent="0.3">
      <c r="B19" t="s">
        <v>92</v>
      </c>
      <c r="D19">
        <v>470000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5B1FD-0D70-452A-B774-60C346259CE5}">
  <dimension ref="B3:G15"/>
  <sheetViews>
    <sheetView workbookViewId="0">
      <selection activeCell="C19" sqref="C19"/>
    </sheetView>
  </sheetViews>
  <sheetFormatPr defaultRowHeight="14.4" x14ac:dyDescent="0.3"/>
  <cols>
    <col min="1" max="1" width="12.5546875" customWidth="1"/>
    <col min="2" max="2" width="20.21875" bestFit="1" customWidth="1"/>
    <col min="3" max="3" width="17.5546875" bestFit="1" customWidth="1"/>
    <col min="4" max="5" width="12.21875" bestFit="1" customWidth="1"/>
    <col min="6" max="6" width="13.109375" bestFit="1" customWidth="1"/>
    <col min="7" max="7" width="12.6640625" bestFit="1" customWidth="1"/>
  </cols>
  <sheetData>
    <row r="3" spans="2:7" ht="17.399999999999999" x14ac:dyDescent="0.35">
      <c r="B3" s="679" t="s">
        <v>445</v>
      </c>
      <c r="C3" s="679" t="s">
        <v>443</v>
      </c>
      <c r="D3" s="680"/>
      <c r="E3" s="680"/>
      <c r="F3" s="680"/>
      <c r="G3" s="680"/>
    </row>
    <row r="4" spans="2:7" ht="17.399999999999999" x14ac:dyDescent="0.35">
      <c r="B4" s="679" t="s">
        <v>444</v>
      </c>
      <c r="C4" s="680" t="s">
        <v>20</v>
      </c>
      <c r="D4" s="680" t="s">
        <v>24</v>
      </c>
      <c r="E4" s="680" t="s">
        <v>30</v>
      </c>
      <c r="F4" s="680" t="s">
        <v>33</v>
      </c>
      <c r="G4" s="680" t="s">
        <v>92</v>
      </c>
    </row>
    <row r="5" spans="2:7" ht="17.399999999999999" x14ac:dyDescent="0.35">
      <c r="B5" s="681" t="s">
        <v>25</v>
      </c>
      <c r="C5" s="682">
        <v>3000</v>
      </c>
      <c r="D5" s="682"/>
      <c r="E5" s="682">
        <v>2000</v>
      </c>
      <c r="F5" s="682"/>
      <c r="G5" s="682">
        <v>5000</v>
      </c>
    </row>
    <row r="6" spans="2:7" ht="17.399999999999999" x14ac:dyDescent="0.35">
      <c r="B6" s="681" t="s">
        <v>26</v>
      </c>
      <c r="C6" s="682"/>
      <c r="D6" s="682">
        <v>4000</v>
      </c>
      <c r="E6" s="682"/>
      <c r="F6" s="682">
        <v>-1000</v>
      </c>
      <c r="G6" s="682">
        <v>3000</v>
      </c>
    </row>
    <row r="7" spans="2:7" ht="17.399999999999999" x14ac:dyDescent="0.35">
      <c r="B7" s="681" t="s">
        <v>27</v>
      </c>
      <c r="C7" s="682"/>
      <c r="D7" s="682">
        <v>11000</v>
      </c>
      <c r="E7" s="682"/>
      <c r="F7" s="682"/>
      <c r="G7" s="682">
        <v>11000</v>
      </c>
    </row>
    <row r="8" spans="2:7" ht="17.399999999999999" x14ac:dyDescent="0.35">
      <c r="B8" s="681" t="s">
        <v>31</v>
      </c>
      <c r="C8" s="682"/>
      <c r="D8" s="682"/>
      <c r="E8" s="682">
        <v>8000</v>
      </c>
      <c r="F8" s="682">
        <v>4000</v>
      </c>
      <c r="G8" s="682">
        <v>12000</v>
      </c>
    </row>
    <row r="9" spans="2:7" ht="17.399999999999999" x14ac:dyDescent="0.35">
      <c r="B9" s="681" t="s">
        <v>21</v>
      </c>
      <c r="C9" s="682">
        <v>2000</v>
      </c>
      <c r="D9" s="682"/>
      <c r="E9" s="682"/>
      <c r="F9" s="682"/>
      <c r="G9" s="682">
        <v>2000</v>
      </c>
    </row>
    <row r="10" spans="2:7" ht="17.399999999999999" x14ac:dyDescent="0.35">
      <c r="B10" s="681" t="s">
        <v>32</v>
      </c>
      <c r="C10" s="682"/>
      <c r="D10" s="682"/>
      <c r="E10" s="682">
        <v>20000</v>
      </c>
      <c r="F10" s="682"/>
      <c r="G10" s="682">
        <v>20000</v>
      </c>
    </row>
    <row r="11" spans="2:7" ht="17.399999999999999" x14ac:dyDescent="0.35">
      <c r="B11" s="681" t="s">
        <v>22</v>
      </c>
      <c r="C11" s="682">
        <v>2000</v>
      </c>
      <c r="D11" s="682">
        <v>2000</v>
      </c>
      <c r="E11" s="682"/>
      <c r="F11" s="682">
        <v>-5000</v>
      </c>
      <c r="G11" s="682">
        <v>-1000</v>
      </c>
    </row>
    <row r="12" spans="2:7" ht="17.399999999999999" x14ac:dyDescent="0.35">
      <c r="B12" s="681" t="s">
        <v>28</v>
      </c>
      <c r="C12" s="682"/>
      <c r="D12" s="682">
        <v>8000</v>
      </c>
      <c r="E12" s="682"/>
      <c r="F12" s="682">
        <v>-12000</v>
      </c>
      <c r="G12" s="682">
        <v>-4000</v>
      </c>
    </row>
    <row r="13" spans="2:7" ht="17.399999999999999" x14ac:dyDescent="0.35">
      <c r="B13" s="681" t="s">
        <v>23</v>
      </c>
      <c r="C13" s="682">
        <v>10000</v>
      </c>
      <c r="D13" s="682"/>
      <c r="E13" s="682"/>
      <c r="F13" s="682"/>
      <c r="G13" s="682">
        <v>10000</v>
      </c>
    </row>
    <row r="14" spans="2:7" ht="17.399999999999999" x14ac:dyDescent="0.35">
      <c r="B14" s="681" t="s">
        <v>29</v>
      </c>
      <c r="C14" s="682"/>
      <c r="D14" s="682">
        <v>5000</v>
      </c>
      <c r="E14" s="682"/>
      <c r="F14" s="682"/>
      <c r="G14" s="682">
        <v>5000</v>
      </c>
    </row>
    <row r="15" spans="2:7" ht="17.399999999999999" x14ac:dyDescent="0.35">
      <c r="B15" s="681" t="s">
        <v>92</v>
      </c>
      <c r="C15" s="682">
        <v>17000</v>
      </c>
      <c r="D15" s="682">
        <v>30000</v>
      </c>
      <c r="E15" s="682">
        <v>30000</v>
      </c>
      <c r="F15" s="682">
        <v>-14000</v>
      </c>
      <c r="G15" s="682">
        <v>63000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366EB-47D0-49CF-85DE-C5F3F375374D}">
  <dimension ref="B3:C10"/>
  <sheetViews>
    <sheetView workbookViewId="0">
      <selection activeCell="C19" sqref="C19"/>
    </sheetView>
  </sheetViews>
  <sheetFormatPr defaultRowHeight="14.4" x14ac:dyDescent="0.3"/>
  <cols>
    <col min="2" max="2" width="19.5546875" bestFit="1" customWidth="1"/>
    <col min="3" max="3" width="20.21875" bestFit="1" customWidth="1"/>
    <col min="4" max="7" width="11.88671875" bestFit="1" customWidth="1"/>
  </cols>
  <sheetData>
    <row r="3" spans="2:3" ht="17.399999999999999" x14ac:dyDescent="0.35">
      <c r="B3" s="679" t="s">
        <v>444</v>
      </c>
      <c r="C3" s="680" t="s">
        <v>446</v>
      </c>
    </row>
    <row r="4" spans="2:3" ht="17.399999999999999" x14ac:dyDescent="0.35">
      <c r="B4" s="681" t="s">
        <v>33</v>
      </c>
      <c r="C4" s="682">
        <v>192000</v>
      </c>
    </row>
    <row r="5" spans="2:3" ht="17.399999999999999" x14ac:dyDescent="0.35">
      <c r="B5" s="683" t="s">
        <v>26</v>
      </c>
      <c r="C5" s="682">
        <v>85000</v>
      </c>
    </row>
    <row r="6" spans="2:3" ht="17.399999999999999" x14ac:dyDescent="0.35">
      <c r="B6" s="683" t="s">
        <v>31</v>
      </c>
      <c r="C6" s="682">
        <v>42000</v>
      </c>
    </row>
    <row r="7" spans="2:3" ht="17.399999999999999" x14ac:dyDescent="0.35">
      <c r="B7" s="683" t="s">
        <v>22</v>
      </c>
      <c r="C7" s="682">
        <v>35000</v>
      </c>
    </row>
    <row r="8" spans="2:3" ht="17.399999999999999" x14ac:dyDescent="0.35">
      <c r="B8" s="683" t="s">
        <v>28</v>
      </c>
      <c r="C8" s="682">
        <v>30000</v>
      </c>
    </row>
    <row r="9" spans="2:3" ht="17.399999999999999" x14ac:dyDescent="0.35">
      <c r="B9" s="681"/>
      <c r="C9" s="682"/>
    </row>
    <row r="10" spans="2:3" ht="17.399999999999999" x14ac:dyDescent="0.35">
      <c r="B10" s="681" t="s">
        <v>92</v>
      </c>
      <c r="C10" s="682">
        <v>192000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3389F-43D2-46D2-BD88-94D3C31EA914}">
  <dimension ref="C2:H20"/>
  <sheetViews>
    <sheetView topLeftCell="B2" workbookViewId="0">
      <selection activeCell="C19" sqref="C19"/>
    </sheetView>
  </sheetViews>
  <sheetFormatPr defaultColWidth="8.77734375" defaultRowHeight="15.6" x14ac:dyDescent="0.3"/>
  <cols>
    <col min="1" max="2" width="8.77734375" style="675"/>
    <col min="3" max="3" width="14" style="675" customWidth="1"/>
    <col min="4" max="4" width="19.44140625" style="675" customWidth="1"/>
    <col min="5" max="5" width="11" style="675" customWidth="1"/>
    <col min="6" max="6" width="14.44140625" style="675" customWidth="1"/>
    <col min="7" max="7" width="15.44140625" style="675" customWidth="1"/>
    <col min="8" max="8" width="15" style="675" customWidth="1"/>
    <col min="9" max="16384" width="8.77734375" style="675"/>
  </cols>
  <sheetData>
    <row r="2" spans="3:8" ht="18.45" customHeight="1" x14ac:dyDescent="0.3">
      <c r="C2" s="673" t="s">
        <v>18</v>
      </c>
      <c r="D2" s="674" t="s">
        <v>16</v>
      </c>
      <c r="E2" s="674" t="s">
        <v>19</v>
      </c>
      <c r="F2" s="674" t="s">
        <v>308</v>
      </c>
      <c r="G2" s="674" t="s">
        <v>309</v>
      </c>
      <c r="H2" s="674" t="s">
        <v>442</v>
      </c>
    </row>
    <row r="3" spans="3:8" x14ac:dyDescent="0.3">
      <c r="C3" s="493">
        <v>36533</v>
      </c>
      <c r="D3" s="676" t="s">
        <v>25</v>
      </c>
      <c r="E3" s="677" t="s">
        <v>20</v>
      </c>
      <c r="F3" s="678">
        <v>2000</v>
      </c>
      <c r="G3" s="678">
        <v>5000</v>
      </c>
      <c r="H3" s="678">
        <f t="shared" ref="H3:H20" si="0">G3-F3</f>
        <v>3000</v>
      </c>
    </row>
    <row r="4" spans="3:8" x14ac:dyDescent="0.3">
      <c r="C4" s="493">
        <v>36531</v>
      </c>
      <c r="D4" s="676" t="s">
        <v>21</v>
      </c>
      <c r="E4" s="677" t="s">
        <v>20</v>
      </c>
      <c r="F4" s="678">
        <v>4000</v>
      </c>
      <c r="G4" s="678">
        <v>15000</v>
      </c>
      <c r="H4" s="678">
        <f t="shared" si="0"/>
        <v>11000</v>
      </c>
    </row>
    <row r="5" spans="3:8" x14ac:dyDescent="0.3">
      <c r="C5" s="493">
        <v>36542</v>
      </c>
      <c r="D5" s="676" t="s">
        <v>22</v>
      </c>
      <c r="E5" s="677" t="s">
        <v>20</v>
      </c>
      <c r="F5" s="678">
        <v>6000</v>
      </c>
      <c r="G5" s="678">
        <v>8000</v>
      </c>
      <c r="H5" s="678">
        <f t="shared" si="0"/>
        <v>2000</v>
      </c>
    </row>
    <row r="6" spans="3:8" x14ac:dyDescent="0.3">
      <c r="C6" s="493">
        <v>36535</v>
      </c>
      <c r="D6" s="676" t="s">
        <v>22</v>
      </c>
      <c r="E6" s="677" t="s">
        <v>24</v>
      </c>
      <c r="F6" s="678">
        <v>8000</v>
      </c>
      <c r="G6" s="678">
        <v>10000</v>
      </c>
      <c r="H6" s="678">
        <f t="shared" si="0"/>
        <v>2000</v>
      </c>
    </row>
    <row r="7" spans="3:8" x14ac:dyDescent="0.3">
      <c r="C7" s="493">
        <v>38052</v>
      </c>
      <c r="D7" s="676" t="s">
        <v>23</v>
      </c>
      <c r="E7" s="677" t="s">
        <v>20</v>
      </c>
      <c r="F7" s="678">
        <v>10000</v>
      </c>
      <c r="G7" s="678">
        <v>20000</v>
      </c>
      <c r="H7" s="678">
        <f t="shared" si="0"/>
        <v>10000</v>
      </c>
    </row>
    <row r="8" spans="3:8" x14ac:dyDescent="0.3">
      <c r="C8" s="493">
        <v>36526</v>
      </c>
      <c r="D8" s="676" t="s">
        <v>26</v>
      </c>
      <c r="E8" s="677" t="s">
        <v>24</v>
      </c>
      <c r="F8" s="678">
        <v>14000</v>
      </c>
      <c r="G8" s="678">
        <v>18000</v>
      </c>
      <c r="H8" s="678">
        <f t="shared" si="0"/>
        <v>4000</v>
      </c>
    </row>
    <row r="9" spans="3:8" x14ac:dyDescent="0.3">
      <c r="C9" s="493">
        <v>36528</v>
      </c>
      <c r="D9" s="676" t="s">
        <v>27</v>
      </c>
      <c r="E9" s="677" t="s">
        <v>24</v>
      </c>
      <c r="F9" s="678">
        <v>16000</v>
      </c>
      <c r="G9" s="678">
        <v>20000</v>
      </c>
      <c r="H9" s="678">
        <f t="shared" si="0"/>
        <v>4000</v>
      </c>
    </row>
    <row r="10" spans="3:8" x14ac:dyDescent="0.3">
      <c r="C10" s="493">
        <v>38461</v>
      </c>
      <c r="D10" s="676" t="s">
        <v>27</v>
      </c>
      <c r="E10" s="676" t="s">
        <v>24</v>
      </c>
      <c r="F10" s="678">
        <v>18000</v>
      </c>
      <c r="G10" s="678">
        <v>25000</v>
      </c>
      <c r="H10" s="678">
        <f t="shared" si="0"/>
        <v>7000</v>
      </c>
    </row>
    <row r="11" spans="3:8" x14ac:dyDescent="0.3">
      <c r="C11" s="493">
        <v>36545</v>
      </c>
      <c r="D11" s="676" t="s">
        <v>28</v>
      </c>
      <c r="E11" s="676" t="s">
        <v>24</v>
      </c>
      <c r="F11" s="678">
        <v>20000</v>
      </c>
      <c r="G11" s="678">
        <v>28000</v>
      </c>
      <c r="H11" s="678">
        <f t="shared" si="0"/>
        <v>8000</v>
      </c>
    </row>
    <row r="12" spans="3:8" x14ac:dyDescent="0.3">
      <c r="C12" s="493">
        <v>36535</v>
      </c>
      <c r="D12" s="676" t="s">
        <v>29</v>
      </c>
      <c r="E12" s="677" t="s">
        <v>24</v>
      </c>
      <c r="F12" s="678">
        <v>25000</v>
      </c>
      <c r="G12" s="678">
        <v>50000</v>
      </c>
      <c r="H12" s="678">
        <f t="shared" si="0"/>
        <v>25000</v>
      </c>
    </row>
    <row r="13" spans="3:8" x14ac:dyDescent="0.3">
      <c r="C13" s="493">
        <v>36540</v>
      </c>
      <c r="D13" s="676" t="s">
        <v>25</v>
      </c>
      <c r="E13" s="677" t="s">
        <v>30</v>
      </c>
      <c r="F13" s="678">
        <v>28000</v>
      </c>
      <c r="G13" s="678">
        <v>30000</v>
      </c>
      <c r="H13" s="678">
        <f t="shared" si="0"/>
        <v>2000</v>
      </c>
    </row>
    <row r="14" spans="3:8" x14ac:dyDescent="0.3">
      <c r="C14" s="493">
        <v>39126</v>
      </c>
      <c r="D14" s="676" t="s">
        <v>31</v>
      </c>
      <c r="E14" s="677" t="s">
        <v>30</v>
      </c>
      <c r="F14" s="678">
        <v>30000</v>
      </c>
      <c r="G14" s="678">
        <v>38000</v>
      </c>
      <c r="H14" s="678">
        <f t="shared" si="0"/>
        <v>8000</v>
      </c>
    </row>
    <row r="15" spans="3:8" x14ac:dyDescent="0.3">
      <c r="C15" s="493">
        <v>36538</v>
      </c>
      <c r="D15" s="676" t="s">
        <v>32</v>
      </c>
      <c r="E15" s="677" t="s">
        <v>30</v>
      </c>
      <c r="F15" s="678">
        <v>20000</v>
      </c>
      <c r="G15" s="678">
        <v>40000</v>
      </c>
      <c r="H15" s="678">
        <f t="shared" si="0"/>
        <v>20000</v>
      </c>
    </row>
    <row r="16" spans="3:8" x14ac:dyDescent="0.3">
      <c r="C16" s="493">
        <v>36536</v>
      </c>
      <c r="D16" s="676" t="s">
        <v>26</v>
      </c>
      <c r="E16" s="677" t="s">
        <v>33</v>
      </c>
      <c r="F16" s="678">
        <v>36000</v>
      </c>
      <c r="G16" s="678">
        <v>30000</v>
      </c>
      <c r="H16" s="678">
        <f t="shared" si="0"/>
        <v>-6000</v>
      </c>
    </row>
    <row r="17" spans="3:8" x14ac:dyDescent="0.3">
      <c r="C17" s="493">
        <v>40402</v>
      </c>
      <c r="D17" s="676" t="s">
        <v>26</v>
      </c>
      <c r="E17" s="677" t="s">
        <v>33</v>
      </c>
      <c r="F17" s="678">
        <v>50000</v>
      </c>
      <c r="G17" s="678">
        <v>55000</v>
      </c>
      <c r="H17" s="678">
        <f t="shared" si="0"/>
        <v>5000</v>
      </c>
    </row>
    <row r="18" spans="3:8" x14ac:dyDescent="0.3">
      <c r="C18" s="493">
        <v>36532</v>
      </c>
      <c r="D18" s="676" t="s">
        <v>31</v>
      </c>
      <c r="E18" s="677" t="s">
        <v>33</v>
      </c>
      <c r="F18" s="678">
        <v>38000</v>
      </c>
      <c r="G18" s="678">
        <v>42000</v>
      </c>
      <c r="H18" s="678">
        <f t="shared" si="0"/>
        <v>4000</v>
      </c>
    </row>
    <row r="19" spans="3:8" x14ac:dyDescent="0.3">
      <c r="C19" s="494">
        <v>36547</v>
      </c>
      <c r="D19" s="676" t="s">
        <v>22</v>
      </c>
      <c r="E19" s="676" t="s">
        <v>33</v>
      </c>
      <c r="F19" s="678">
        <v>40000</v>
      </c>
      <c r="G19" s="678">
        <v>35000</v>
      </c>
      <c r="H19" s="678">
        <f t="shared" si="0"/>
        <v>-5000</v>
      </c>
    </row>
    <row r="20" spans="3:8" x14ac:dyDescent="0.3">
      <c r="C20" s="495">
        <v>36529</v>
      </c>
      <c r="D20" s="676" t="s">
        <v>28</v>
      </c>
      <c r="E20" s="677" t="s">
        <v>33</v>
      </c>
      <c r="F20" s="678">
        <v>42000</v>
      </c>
      <c r="G20" s="678">
        <v>30000</v>
      </c>
      <c r="H20" s="678">
        <f t="shared" si="0"/>
        <v>-12000</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8DFFB-D78F-41B9-B617-4667D868ADCC}">
  <dimension ref="B1:C22"/>
  <sheetViews>
    <sheetView workbookViewId="0">
      <selection activeCell="C19" sqref="C19"/>
    </sheetView>
  </sheetViews>
  <sheetFormatPr defaultRowHeight="14.4" x14ac:dyDescent="0.3"/>
  <cols>
    <col min="2" max="2" width="20.6640625" bestFit="1" customWidth="1"/>
    <col min="3" max="4" width="18.77734375" bestFit="1" customWidth="1"/>
    <col min="5" max="7" width="11.88671875" bestFit="1" customWidth="1"/>
    <col min="8" max="16" width="10.33203125" bestFit="1" customWidth="1"/>
    <col min="17" max="17" width="10.77734375" bestFit="1" customWidth="1"/>
  </cols>
  <sheetData>
    <row r="1" spans="2:3" ht="15.6" x14ac:dyDescent="0.3">
      <c r="B1" s="669" t="s">
        <v>444</v>
      </c>
      <c r="C1" s="670" t="s">
        <v>446</v>
      </c>
    </row>
    <row r="2" spans="2:3" ht="15.6" x14ac:dyDescent="0.3">
      <c r="B2" s="671" t="s">
        <v>20</v>
      </c>
      <c r="C2" s="672">
        <v>48000</v>
      </c>
    </row>
    <row r="3" spans="2:3" ht="15.6" x14ac:dyDescent="0.3">
      <c r="B3" s="684" t="s">
        <v>25</v>
      </c>
      <c r="C3" s="672">
        <v>5000</v>
      </c>
    </row>
    <row r="4" spans="2:3" ht="15.6" x14ac:dyDescent="0.3">
      <c r="B4" s="684" t="s">
        <v>21</v>
      </c>
      <c r="C4" s="672">
        <v>15000</v>
      </c>
    </row>
    <row r="5" spans="2:3" ht="15.6" x14ac:dyDescent="0.3">
      <c r="B5" s="684" t="s">
        <v>22</v>
      </c>
      <c r="C5" s="672">
        <v>8000</v>
      </c>
    </row>
    <row r="6" spans="2:3" ht="15.6" x14ac:dyDescent="0.3">
      <c r="B6" s="684" t="s">
        <v>23</v>
      </c>
      <c r="C6" s="672">
        <v>20000</v>
      </c>
    </row>
    <row r="7" spans="2:3" ht="15.6" x14ac:dyDescent="0.3">
      <c r="B7" s="671" t="s">
        <v>24</v>
      </c>
      <c r="C7" s="672">
        <v>151000</v>
      </c>
    </row>
    <row r="8" spans="2:3" ht="15.6" x14ac:dyDescent="0.3">
      <c r="B8" s="684" t="s">
        <v>26</v>
      </c>
      <c r="C8" s="672">
        <v>18000</v>
      </c>
    </row>
    <row r="9" spans="2:3" ht="15.6" x14ac:dyDescent="0.3">
      <c r="B9" s="684" t="s">
        <v>27</v>
      </c>
      <c r="C9" s="672">
        <v>45000</v>
      </c>
    </row>
    <row r="10" spans="2:3" ht="15.6" x14ac:dyDescent="0.3">
      <c r="B10" s="684" t="s">
        <v>22</v>
      </c>
      <c r="C10" s="672">
        <v>10000</v>
      </c>
    </row>
    <row r="11" spans="2:3" ht="15.6" x14ac:dyDescent="0.3">
      <c r="B11" s="684" t="s">
        <v>28</v>
      </c>
      <c r="C11" s="672">
        <v>28000</v>
      </c>
    </row>
    <row r="12" spans="2:3" ht="15.6" x14ac:dyDescent="0.3">
      <c r="B12" s="684" t="s">
        <v>29</v>
      </c>
      <c r="C12" s="672">
        <v>50000</v>
      </c>
    </row>
    <row r="13" spans="2:3" ht="15.6" x14ac:dyDescent="0.3">
      <c r="B13" s="671" t="s">
        <v>30</v>
      </c>
      <c r="C13" s="672">
        <v>108000</v>
      </c>
    </row>
    <row r="14" spans="2:3" ht="15.6" x14ac:dyDescent="0.3">
      <c r="B14" s="684" t="s">
        <v>25</v>
      </c>
      <c r="C14" s="672">
        <v>30000</v>
      </c>
    </row>
    <row r="15" spans="2:3" ht="15.6" x14ac:dyDescent="0.3">
      <c r="B15" s="684" t="s">
        <v>31</v>
      </c>
      <c r="C15" s="672">
        <v>38000</v>
      </c>
    </row>
    <row r="16" spans="2:3" ht="15.6" x14ac:dyDescent="0.3">
      <c r="B16" s="684" t="s">
        <v>32</v>
      </c>
      <c r="C16" s="672">
        <v>40000</v>
      </c>
    </row>
    <row r="17" spans="2:3" ht="15.6" x14ac:dyDescent="0.3">
      <c r="B17" s="671" t="s">
        <v>33</v>
      </c>
      <c r="C17" s="672">
        <v>192000</v>
      </c>
    </row>
    <row r="18" spans="2:3" ht="15.6" x14ac:dyDescent="0.3">
      <c r="B18" s="684" t="s">
        <v>26</v>
      </c>
      <c r="C18" s="672">
        <v>85000</v>
      </c>
    </row>
    <row r="19" spans="2:3" ht="15.6" x14ac:dyDescent="0.3">
      <c r="B19" s="684" t="s">
        <v>31</v>
      </c>
      <c r="C19" s="672">
        <v>42000</v>
      </c>
    </row>
    <row r="20" spans="2:3" ht="15.6" x14ac:dyDescent="0.3">
      <c r="B20" s="684" t="s">
        <v>22</v>
      </c>
      <c r="C20" s="672">
        <v>35000</v>
      </c>
    </row>
    <row r="21" spans="2:3" ht="15.6" x14ac:dyDescent="0.3">
      <c r="B21" s="684" t="s">
        <v>28</v>
      </c>
      <c r="C21" s="672">
        <v>30000</v>
      </c>
    </row>
    <row r="22" spans="2:3" ht="15.6" x14ac:dyDescent="0.3">
      <c r="B22" s="671" t="s">
        <v>92</v>
      </c>
      <c r="C22" s="672">
        <v>499000</v>
      </c>
    </row>
  </sheetData>
  <pageMargins left="0.7" right="0.7" top="0.75" bottom="0.75" header="0.3" footer="0.3"/>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A1B1B-812E-465C-8E4D-1BCA6F4990BB}">
  <dimension ref="B2:C23"/>
  <sheetViews>
    <sheetView workbookViewId="0">
      <selection activeCell="C19" sqref="C19"/>
    </sheetView>
  </sheetViews>
  <sheetFormatPr defaultRowHeight="14.4" x14ac:dyDescent="0.3"/>
  <cols>
    <col min="2" max="2" width="22.33203125" bestFit="1" customWidth="1"/>
    <col min="3" max="3" width="20.21875" bestFit="1" customWidth="1"/>
    <col min="6" max="6" width="19.5546875" bestFit="1" customWidth="1"/>
    <col min="7" max="7" width="17.109375" bestFit="1" customWidth="1"/>
  </cols>
  <sheetData>
    <row r="2" spans="2:3" ht="17.399999999999999" x14ac:dyDescent="0.35">
      <c r="B2" s="679" t="s">
        <v>444</v>
      </c>
      <c r="C2" s="680" t="s">
        <v>446</v>
      </c>
    </row>
    <row r="3" spans="2:3" ht="17.399999999999999" x14ac:dyDescent="0.35">
      <c r="B3" s="681" t="s">
        <v>20</v>
      </c>
      <c r="C3" s="682">
        <v>39000</v>
      </c>
    </row>
    <row r="4" spans="2:3" ht="17.399999999999999" x14ac:dyDescent="0.35">
      <c r="B4" s="683" t="s">
        <v>25</v>
      </c>
      <c r="C4" s="682">
        <v>5000</v>
      </c>
    </row>
    <row r="5" spans="2:3" ht="17.399999999999999" x14ac:dyDescent="0.35">
      <c r="B5" s="683" t="s">
        <v>21</v>
      </c>
      <c r="C5" s="682">
        <v>6000</v>
      </c>
    </row>
    <row r="6" spans="2:3" ht="17.399999999999999" x14ac:dyDescent="0.35">
      <c r="B6" s="683" t="s">
        <v>22</v>
      </c>
      <c r="C6" s="682">
        <v>8000</v>
      </c>
    </row>
    <row r="7" spans="2:3" ht="17.399999999999999" x14ac:dyDescent="0.35">
      <c r="B7" s="683" t="s">
        <v>23</v>
      </c>
      <c r="C7" s="682">
        <v>20000</v>
      </c>
    </row>
    <row r="8" spans="2:3" ht="17.399999999999999" x14ac:dyDescent="0.35">
      <c r="B8" s="681" t="s">
        <v>24</v>
      </c>
      <c r="C8" s="682">
        <v>131000</v>
      </c>
    </row>
    <row r="9" spans="2:3" ht="17.399999999999999" x14ac:dyDescent="0.35">
      <c r="B9" s="683" t="s">
        <v>26</v>
      </c>
      <c r="C9" s="682">
        <v>18000</v>
      </c>
    </row>
    <row r="10" spans="2:3" ht="17.399999999999999" x14ac:dyDescent="0.35">
      <c r="B10" s="683" t="s">
        <v>27</v>
      </c>
      <c r="C10" s="682">
        <v>45000</v>
      </c>
    </row>
    <row r="11" spans="2:3" ht="17.399999999999999" x14ac:dyDescent="0.35">
      <c r="B11" s="683" t="s">
        <v>22</v>
      </c>
      <c r="C11" s="682">
        <v>10000</v>
      </c>
    </row>
    <row r="12" spans="2:3" ht="17.399999999999999" x14ac:dyDescent="0.35">
      <c r="B12" s="683" t="s">
        <v>28</v>
      </c>
      <c r="C12" s="682">
        <v>28000</v>
      </c>
    </row>
    <row r="13" spans="2:3" ht="17.399999999999999" x14ac:dyDescent="0.35">
      <c r="B13" s="683" t="s">
        <v>29</v>
      </c>
      <c r="C13" s="682">
        <v>30000</v>
      </c>
    </row>
    <row r="14" spans="2:3" ht="17.399999999999999" x14ac:dyDescent="0.35">
      <c r="B14" s="681" t="s">
        <v>30</v>
      </c>
      <c r="C14" s="682">
        <v>108000</v>
      </c>
    </row>
    <row r="15" spans="2:3" ht="17.399999999999999" x14ac:dyDescent="0.35">
      <c r="B15" s="683" t="s">
        <v>25</v>
      </c>
      <c r="C15" s="682">
        <v>30000</v>
      </c>
    </row>
    <row r="16" spans="2:3" ht="17.399999999999999" x14ac:dyDescent="0.35">
      <c r="B16" s="683" t="s">
        <v>31</v>
      </c>
      <c r="C16" s="682">
        <v>38000</v>
      </c>
    </row>
    <row r="17" spans="2:3" ht="17.399999999999999" x14ac:dyDescent="0.35">
      <c r="B17" s="683" t="s">
        <v>32</v>
      </c>
      <c r="C17" s="682">
        <v>40000</v>
      </c>
    </row>
    <row r="18" spans="2:3" ht="17.399999999999999" x14ac:dyDescent="0.35">
      <c r="B18" s="681" t="s">
        <v>33</v>
      </c>
      <c r="C18" s="682">
        <v>192000</v>
      </c>
    </row>
    <row r="19" spans="2:3" ht="17.399999999999999" x14ac:dyDescent="0.35">
      <c r="B19" s="683" t="s">
        <v>26</v>
      </c>
      <c r="C19" s="682">
        <v>85000</v>
      </c>
    </row>
    <row r="20" spans="2:3" ht="17.399999999999999" x14ac:dyDescent="0.35">
      <c r="B20" s="683" t="s">
        <v>31</v>
      </c>
      <c r="C20" s="682">
        <v>42000</v>
      </c>
    </row>
    <row r="21" spans="2:3" ht="17.399999999999999" x14ac:dyDescent="0.35">
      <c r="B21" s="683" t="s">
        <v>22</v>
      </c>
      <c r="C21" s="682">
        <v>35000</v>
      </c>
    </row>
    <row r="22" spans="2:3" ht="17.399999999999999" x14ac:dyDescent="0.35">
      <c r="B22" s="683" t="s">
        <v>28</v>
      </c>
      <c r="C22" s="682">
        <v>30000</v>
      </c>
    </row>
    <row r="23" spans="2:3" ht="17.399999999999999" x14ac:dyDescent="0.35">
      <c r="B23" s="681" t="s">
        <v>92</v>
      </c>
      <c r="C23" s="682">
        <v>470000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611EB-302D-4F3A-ABE5-0CBD4F052646}">
  <dimension ref="A3:F15"/>
  <sheetViews>
    <sheetView workbookViewId="0">
      <selection activeCell="C19" sqref="C19"/>
    </sheetView>
  </sheetViews>
  <sheetFormatPr defaultRowHeight="14.4" x14ac:dyDescent="0.3"/>
  <cols>
    <col min="1" max="1" width="17.109375" bestFit="1" customWidth="1"/>
    <col min="2" max="2" width="15.21875" bestFit="1" customWidth="1"/>
    <col min="3" max="6" width="11.88671875" bestFit="1" customWidth="1"/>
  </cols>
  <sheetData>
    <row r="3" spans="1:6" x14ac:dyDescent="0.3">
      <c r="A3" s="279" t="s">
        <v>446</v>
      </c>
      <c r="B3" s="279" t="s">
        <v>443</v>
      </c>
    </row>
    <row r="4" spans="1:6" x14ac:dyDescent="0.3">
      <c r="A4" s="279" t="s">
        <v>444</v>
      </c>
      <c r="B4" t="s">
        <v>20</v>
      </c>
      <c r="C4" t="s">
        <v>24</v>
      </c>
      <c r="D4" t="s">
        <v>30</v>
      </c>
      <c r="E4" t="s">
        <v>33</v>
      </c>
      <c r="F4" t="s">
        <v>92</v>
      </c>
    </row>
    <row r="5" spans="1:6" x14ac:dyDescent="0.3">
      <c r="A5" s="280" t="s">
        <v>25</v>
      </c>
      <c r="B5" s="668">
        <v>5000</v>
      </c>
      <c r="C5" s="668"/>
      <c r="D5" s="668">
        <v>30000</v>
      </c>
      <c r="E5" s="668"/>
      <c r="F5" s="668">
        <v>35000</v>
      </c>
    </row>
    <row r="6" spans="1:6" x14ac:dyDescent="0.3">
      <c r="A6" s="280" t="s">
        <v>26</v>
      </c>
      <c r="B6" s="668"/>
      <c r="C6" s="668">
        <v>18000</v>
      </c>
      <c r="D6" s="668"/>
      <c r="E6" s="668">
        <v>85000</v>
      </c>
      <c r="F6" s="668">
        <v>103000</v>
      </c>
    </row>
    <row r="7" spans="1:6" x14ac:dyDescent="0.3">
      <c r="A7" s="280" t="s">
        <v>27</v>
      </c>
      <c r="B7" s="668"/>
      <c r="C7" s="668">
        <v>45000</v>
      </c>
      <c r="D7" s="668"/>
      <c r="E7" s="668"/>
      <c r="F7" s="668">
        <v>45000</v>
      </c>
    </row>
    <row r="8" spans="1:6" x14ac:dyDescent="0.3">
      <c r="A8" s="280" t="s">
        <v>31</v>
      </c>
      <c r="B8" s="668"/>
      <c r="C8" s="668"/>
      <c r="D8" s="668">
        <v>38000</v>
      </c>
      <c r="E8" s="668">
        <v>42000</v>
      </c>
      <c r="F8" s="668">
        <v>80000</v>
      </c>
    </row>
    <row r="9" spans="1:6" x14ac:dyDescent="0.3">
      <c r="A9" s="280" t="s">
        <v>21</v>
      </c>
      <c r="B9" s="668">
        <v>6000</v>
      </c>
      <c r="C9" s="668"/>
      <c r="D9" s="668"/>
      <c r="E9" s="668"/>
      <c r="F9" s="668">
        <v>6000</v>
      </c>
    </row>
    <row r="10" spans="1:6" x14ac:dyDescent="0.3">
      <c r="A10" s="280" t="s">
        <v>32</v>
      </c>
      <c r="B10" s="668"/>
      <c r="C10" s="668"/>
      <c r="D10" s="668">
        <v>40000</v>
      </c>
      <c r="E10" s="668"/>
      <c r="F10" s="668">
        <v>40000</v>
      </c>
    </row>
    <row r="11" spans="1:6" x14ac:dyDescent="0.3">
      <c r="A11" s="280" t="s">
        <v>22</v>
      </c>
      <c r="B11" s="668">
        <v>8000</v>
      </c>
      <c r="C11" s="668">
        <v>10000</v>
      </c>
      <c r="D11" s="668"/>
      <c r="E11" s="668">
        <v>35000</v>
      </c>
      <c r="F11" s="668">
        <v>53000</v>
      </c>
    </row>
    <row r="12" spans="1:6" x14ac:dyDescent="0.3">
      <c r="A12" s="280" t="s">
        <v>28</v>
      </c>
      <c r="B12" s="668"/>
      <c r="C12" s="668">
        <v>28000</v>
      </c>
      <c r="D12" s="668"/>
      <c r="E12" s="668">
        <v>30000</v>
      </c>
      <c r="F12" s="668">
        <v>58000</v>
      </c>
    </row>
    <row r="13" spans="1:6" x14ac:dyDescent="0.3">
      <c r="A13" s="280" t="s">
        <v>23</v>
      </c>
      <c r="B13" s="668">
        <v>20000</v>
      </c>
      <c r="C13" s="668"/>
      <c r="D13" s="668"/>
      <c r="E13" s="668"/>
      <c r="F13" s="668">
        <v>20000</v>
      </c>
    </row>
    <row r="14" spans="1:6" x14ac:dyDescent="0.3">
      <c r="A14" s="280" t="s">
        <v>29</v>
      </c>
      <c r="B14" s="668"/>
      <c r="C14" s="668">
        <v>30000</v>
      </c>
      <c r="D14" s="668"/>
      <c r="E14" s="668"/>
      <c r="F14" s="668">
        <v>30000</v>
      </c>
    </row>
    <row r="15" spans="1:6" x14ac:dyDescent="0.3">
      <c r="A15" s="280" t="s">
        <v>92</v>
      </c>
      <c r="B15" s="668">
        <v>39000</v>
      </c>
      <c r="C15" s="668">
        <v>131000</v>
      </c>
      <c r="D15" s="668">
        <v>108000</v>
      </c>
      <c r="E15" s="668">
        <v>192000</v>
      </c>
      <c r="F15" s="668">
        <v>470000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C74C6-5D83-4D1A-9977-3E59180AFB38}">
  <dimension ref="A2:C49"/>
  <sheetViews>
    <sheetView workbookViewId="0">
      <selection activeCell="C19" sqref="C19"/>
    </sheetView>
  </sheetViews>
  <sheetFormatPr defaultRowHeight="17.55" customHeight="1" x14ac:dyDescent="0.3"/>
  <cols>
    <col min="1" max="1" width="19.44140625" customWidth="1"/>
    <col min="2" max="2" width="18.6640625" customWidth="1"/>
    <col min="3" max="3" width="18.109375" customWidth="1"/>
    <col min="4" max="4" width="16.33203125" customWidth="1"/>
    <col min="5" max="5" width="17.44140625" customWidth="1"/>
  </cols>
  <sheetData>
    <row r="2" spans="1:2" ht="21.45" customHeight="1" x14ac:dyDescent="0.3">
      <c r="A2" s="211" t="s">
        <v>376</v>
      </c>
      <c r="B2" s="211" t="s">
        <v>378</v>
      </c>
    </row>
    <row r="3" spans="1:2" ht="17.55" customHeight="1" x14ac:dyDescent="0.3">
      <c r="A3" s="218" t="s">
        <v>324</v>
      </c>
      <c r="B3" s="214">
        <v>180000</v>
      </c>
    </row>
    <row r="4" spans="1:2" ht="17.55" customHeight="1" x14ac:dyDescent="0.3">
      <c r="A4" s="218" t="s">
        <v>375</v>
      </c>
      <c r="B4" s="214">
        <v>200000</v>
      </c>
    </row>
    <row r="5" spans="1:2" ht="17.55" customHeight="1" x14ac:dyDescent="0.3">
      <c r="A5" s="218" t="s">
        <v>382</v>
      </c>
      <c r="B5" s="214">
        <v>225000</v>
      </c>
    </row>
    <row r="6" spans="1:2" ht="17.55" customHeight="1" x14ac:dyDescent="0.3">
      <c r="A6" s="218" t="s">
        <v>374</v>
      </c>
      <c r="B6" s="214">
        <v>250000</v>
      </c>
    </row>
    <row r="7" spans="1:2" ht="17.55" customHeight="1" x14ac:dyDescent="0.3">
      <c r="A7" s="218" t="s">
        <v>323</v>
      </c>
      <c r="B7" s="214">
        <v>400000</v>
      </c>
    </row>
    <row r="8" spans="1:2" ht="17.55" customHeight="1" x14ac:dyDescent="0.3">
      <c r="A8" s="218" t="s">
        <v>381</v>
      </c>
      <c r="B8" s="214">
        <v>450000</v>
      </c>
    </row>
    <row r="9" spans="1:2" ht="17.55" customHeight="1" x14ac:dyDescent="0.3">
      <c r="A9" s="218" t="s">
        <v>373</v>
      </c>
      <c r="B9" s="214">
        <v>500000</v>
      </c>
    </row>
    <row r="10" spans="1:2" ht="17.55" customHeight="1" x14ac:dyDescent="0.3">
      <c r="A10" s="218" t="s">
        <v>461</v>
      </c>
      <c r="B10" s="214">
        <v>600000</v>
      </c>
    </row>
    <row r="41" spans="1:3" ht="17.55" customHeight="1" x14ac:dyDescent="0.3">
      <c r="A41" s="211" t="s">
        <v>376</v>
      </c>
      <c r="B41" s="211" t="s">
        <v>378</v>
      </c>
      <c r="C41" s="211" t="s">
        <v>664</v>
      </c>
    </row>
    <row r="42" spans="1:3" ht="17.55" customHeight="1" x14ac:dyDescent="0.3">
      <c r="A42" s="218" t="s">
        <v>372</v>
      </c>
      <c r="B42" s="214">
        <v>600000</v>
      </c>
      <c r="C42" s="217">
        <v>300000</v>
      </c>
    </row>
    <row r="43" spans="1:3" ht="17.55" customHeight="1" x14ac:dyDescent="0.3">
      <c r="A43" s="218" t="s">
        <v>374</v>
      </c>
      <c r="B43" s="214">
        <v>250000</v>
      </c>
      <c r="C43" s="217">
        <v>100000</v>
      </c>
    </row>
    <row r="44" spans="1:3" ht="17.55" customHeight="1" x14ac:dyDescent="0.3">
      <c r="A44" s="218" t="s">
        <v>323</v>
      </c>
      <c r="B44" s="214">
        <v>400000</v>
      </c>
      <c r="C44" s="218">
        <v>500000</v>
      </c>
    </row>
    <row r="45" spans="1:3" ht="17.55" customHeight="1" x14ac:dyDescent="0.3">
      <c r="A45" s="218" t="s">
        <v>375</v>
      </c>
      <c r="B45" s="214">
        <v>200000</v>
      </c>
      <c r="C45" s="217">
        <v>600000</v>
      </c>
    </row>
    <row r="46" spans="1:3" ht="17.55" customHeight="1" x14ac:dyDescent="0.3">
      <c r="A46" s="218" t="s">
        <v>373</v>
      </c>
      <c r="B46" s="214">
        <v>500000</v>
      </c>
      <c r="C46" s="217">
        <v>800000</v>
      </c>
    </row>
    <row r="47" spans="1:3" ht="17.55" customHeight="1" x14ac:dyDescent="0.3">
      <c r="A47" s="218" t="s">
        <v>324</v>
      </c>
      <c r="B47" s="214">
        <v>180000</v>
      </c>
      <c r="C47" s="218">
        <v>70000</v>
      </c>
    </row>
    <row r="48" spans="1:3" ht="17.55" customHeight="1" x14ac:dyDescent="0.3">
      <c r="A48" s="218" t="s">
        <v>381</v>
      </c>
      <c r="B48" s="214">
        <v>450000</v>
      </c>
      <c r="C48" s="218">
        <v>800000</v>
      </c>
    </row>
    <row r="49" spans="1:3" ht="17.55" customHeight="1" x14ac:dyDescent="0.3">
      <c r="A49" s="218" t="s">
        <v>382</v>
      </c>
      <c r="B49" s="214">
        <v>225000</v>
      </c>
      <c r="C49" s="218">
        <v>400000</v>
      </c>
    </row>
  </sheetData>
  <sortState xmlns:xlrd2="http://schemas.microsoft.com/office/spreadsheetml/2017/richdata2" ref="A3:B10">
    <sortCondition ref="B3:B10"/>
  </sortState>
  <pageMargins left="0.7" right="0.7" top="0.75" bottom="0.75" header="0.3" footer="0.3"/>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C91EC-6932-47A1-A0FC-FAFFB9BCC774}">
  <dimension ref="B2:G145"/>
  <sheetViews>
    <sheetView topLeftCell="A50" workbookViewId="0">
      <selection activeCell="C19" sqref="C19"/>
    </sheetView>
  </sheetViews>
  <sheetFormatPr defaultColWidth="8.77734375" defaultRowHeight="14.4" x14ac:dyDescent="0.3"/>
  <cols>
    <col min="1" max="1" width="8.77734375" style="109"/>
    <col min="2" max="2" width="12.88671875" style="109" customWidth="1"/>
    <col min="3" max="3" width="14.6640625" style="109" customWidth="1"/>
    <col min="4" max="4" width="18.33203125" style="109" customWidth="1"/>
    <col min="5" max="5" width="12.88671875" style="109" customWidth="1"/>
    <col min="6" max="6" width="14" style="109" customWidth="1"/>
    <col min="7" max="7" width="12.88671875" style="109" customWidth="1"/>
    <col min="8" max="16384" width="8.77734375" style="109"/>
  </cols>
  <sheetData>
    <row r="2" spans="2:3" ht="15.6" x14ac:dyDescent="0.3">
      <c r="B2" s="185" t="s">
        <v>437</v>
      </c>
      <c r="C2" s="278" t="s">
        <v>309</v>
      </c>
    </row>
    <row r="3" spans="2:3" ht="15" x14ac:dyDescent="0.3">
      <c r="B3" s="282">
        <v>1990</v>
      </c>
      <c r="C3" s="663">
        <v>5000</v>
      </c>
    </row>
    <row r="4" spans="2:3" ht="15" x14ac:dyDescent="0.3">
      <c r="B4" s="282">
        <v>1991</v>
      </c>
      <c r="C4" s="663">
        <v>6000</v>
      </c>
    </row>
    <row r="5" spans="2:3" ht="15" x14ac:dyDescent="0.3">
      <c r="B5" s="282">
        <v>1992</v>
      </c>
      <c r="C5" s="663">
        <v>8000</v>
      </c>
    </row>
    <row r="6" spans="2:3" ht="15" x14ac:dyDescent="0.3">
      <c r="B6" s="282">
        <v>1993</v>
      </c>
      <c r="C6" s="663">
        <v>10000</v>
      </c>
    </row>
    <row r="7" spans="2:3" ht="15" x14ac:dyDescent="0.3">
      <c r="B7" s="282">
        <v>1994</v>
      </c>
      <c r="C7" s="663">
        <v>20000</v>
      </c>
    </row>
    <row r="8" spans="2:3" ht="15" x14ac:dyDescent="0.3">
      <c r="B8" s="282">
        <v>1995</v>
      </c>
      <c r="C8" s="663">
        <v>18000</v>
      </c>
    </row>
    <row r="9" spans="2:3" ht="15" x14ac:dyDescent="0.3">
      <c r="B9" s="282">
        <v>1996</v>
      </c>
      <c r="C9" s="663">
        <v>20000</v>
      </c>
    </row>
    <row r="10" spans="2:3" ht="15" x14ac:dyDescent="0.3">
      <c r="B10" s="282">
        <v>1997</v>
      </c>
      <c r="C10" s="663">
        <v>25000</v>
      </c>
    </row>
    <row r="11" spans="2:3" ht="15" x14ac:dyDescent="0.3">
      <c r="B11" s="282">
        <v>1998</v>
      </c>
      <c r="C11" s="663">
        <v>28000</v>
      </c>
    </row>
    <row r="12" spans="2:3" ht="15" x14ac:dyDescent="0.3">
      <c r="B12" s="282">
        <v>1999</v>
      </c>
      <c r="C12" s="663">
        <v>30000</v>
      </c>
    </row>
    <row r="13" spans="2:3" ht="15" x14ac:dyDescent="0.3">
      <c r="B13" s="282">
        <v>2000</v>
      </c>
      <c r="C13" s="663">
        <v>30000</v>
      </c>
    </row>
    <row r="14" spans="2:3" ht="15" x14ac:dyDescent="0.3">
      <c r="B14" s="282">
        <v>2001</v>
      </c>
      <c r="C14" s="663">
        <v>38000</v>
      </c>
    </row>
    <row r="15" spans="2:3" ht="15" x14ac:dyDescent="0.3">
      <c r="B15" s="282">
        <v>2002</v>
      </c>
      <c r="C15" s="663">
        <v>40000</v>
      </c>
    </row>
    <row r="16" spans="2:3" ht="15" x14ac:dyDescent="0.3">
      <c r="B16" s="282">
        <v>2003</v>
      </c>
      <c r="C16" s="663">
        <v>30000</v>
      </c>
    </row>
    <row r="17" spans="2:4" ht="15" x14ac:dyDescent="0.3">
      <c r="B17" s="282">
        <v>2004</v>
      </c>
      <c r="C17" s="663">
        <v>55000</v>
      </c>
    </row>
    <row r="18" spans="2:4" ht="15" x14ac:dyDescent="0.3">
      <c r="B18" s="282">
        <v>2005</v>
      </c>
      <c r="C18" s="663">
        <v>42000</v>
      </c>
    </row>
    <row r="19" spans="2:4" ht="15" x14ac:dyDescent="0.3">
      <c r="B19" s="282">
        <v>2006</v>
      </c>
      <c r="C19" s="663">
        <v>35000</v>
      </c>
    </row>
    <row r="20" spans="2:4" ht="15" x14ac:dyDescent="0.3">
      <c r="B20" s="282">
        <v>2007</v>
      </c>
      <c r="C20" s="663">
        <v>30000</v>
      </c>
    </row>
    <row r="23" spans="2:4" x14ac:dyDescent="0.3">
      <c r="B23" s="662"/>
      <c r="C23" s="662"/>
      <c r="D23" s="662"/>
    </row>
    <row r="24" spans="2:4" x14ac:dyDescent="0.3">
      <c r="B24" s="664"/>
      <c r="C24" s="664"/>
      <c r="D24" s="665"/>
    </row>
    <row r="25" spans="2:4" x14ac:dyDescent="0.3">
      <c r="B25" s="664"/>
      <c r="C25" s="664"/>
      <c r="D25" s="665"/>
    </row>
    <row r="26" spans="2:4" x14ac:dyDescent="0.3">
      <c r="B26" s="664"/>
      <c r="C26" s="664"/>
      <c r="D26" s="665"/>
    </row>
    <row r="27" spans="2:4" x14ac:dyDescent="0.3">
      <c r="B27" s="664"/>
      <c r="C27" s="664"/>
      <c r="D27" s="665"/>
    </row>
    <row r="28" spans="2:4" x14ac:dyDescent="0.3">
      <c r="B28" s="664"/>
      <c r="C28" s="664"/>
      <c r="D28" s="665"/>
    </row>
    <row r="29" spans="2:4" x14ac:dyDescent="0.3">
      <c r="B29" s="664"/>
      <c r="C29" s="664"/>
      <c r="D29" s="665"/>
    </row>
    <row r="30" spans="2:4" x14ac:dyDescent="0.3">
      <c r="B30" s="664"/>
      <c r="C30" s="664"/>
      <c r="D30" s="665"/>
    </row>
    <row r="31" spans="2:4" x14ac:dyDescent="0.3">
      <c r="B31" s="665"/>
      <c r="C31" s="665"/>
      <c r="D31" s="665"/>
    </row>
    <row r="32" spans="2:4" x14ac:dyDescent="0.3">
      <c r="B32" s="665"/>
      <c r="C32" s="665"/>
      <c r="D32" s="665"/>
    </row>
    <row r="33" spans="2:4" x14ac:dyDescent="0.3">
      <c r="B33" s="664"/>
      <c r="C33" s="664"/>
      <c r="D33" s="665"/>
    </row>
    <row r="34" spans="2:4" x14ac:dyDescent="0.3">
      <c r="B34" s="664"/>
      <c r="C34" s="664"/>
      <c r="D34" s="665"/>
    </row>
    <row r="35" spans="2:4" x14ac:dyDescent="0.3">
      <c r="B35" s="664"/>
      <c r="C35" s="664"/>
      <c r="D35" s="665"/>
    </row>
    <row r="36" spans="2:4" x14ac:dyDescent="0.3">
      <c r="B36" s="664"/>
      <c r="C36" s="664"/>
      <c r="D36" s="665"/>
    </row>
    <row r="37" spans="2:4" x14ac:dyDescent="0.3">
      <c r="B37" s="664"/>
      <c r="C37" s="664"/>
      <c r="D37" s="665"/>
    </row>
    <row r="38" spans="2:4" x14ac:dyDescent="0.3">
      <c r="B38" s="664"/>
      <c r="C38" s="664"/>
      <c r="D38" s="665"/>
    </row>
    <row r="39" spans="2:4" x14ac:dyDescent="0.3">
      <c r="B39" s="664"/>
      <c r="C39" s="664"/>
      <c r="D39" s="665"/>
    </row>
    <row r="40" spans="2:4" x14ac:dyDescent="0.3">
      <c r="B40" s="665"/>
      <c r="C40" s="665"/>
      <c r="D40" s="665"/>
    </row>
    <row r="41" spans="2:4" x14ac:dyDescent="0.3">
      <c r="B41" s="664"/>
      <c r="C41" s="664"/>
      <c r="D41" s="665"/>
    </row>
    <row r="52" spans="2:3" ht="15.6" x14ac:dyDescent="0.3">
      <c r="B52" s="185" t="s">
        <v>437</v>
      </c>
      <c r="C52" s="278" t="s">
        <v>309</v>
      </c>
    </row>
    <row r="53" spans="2:3" ht="15" x14ac:dyDescent="0.3">
      <c r="B53" s="282">
        <v>1990</v>
      </c>
      <c r="C53" s="663">
        <v>5000</v>
      </c>
    </row>
    <row r="54" spans="2:3" ht="15" x14ac:dyDescent="0.3">
      <c r="B54" s="282">
        <v>1991</v>
      </c>
      <c r="C54" s="663">
        <v>6000</v>
      </c>
    </row>
    <row r="55" spans="2:3" ht="15" x14ac:dyDescent="0.3">
      <c r="B55" s="282">
        <v>1992</v>
      </c>
      <c r="C55" s="663">
        <v>8000</v>
      </c>
    </row>
    <row r="56" spans="2:3" ht="15" x14ac:dyDescent="0.3">
      <c r="B56" s="282">
        <v>1993</v>
      </c>
      <c r="C56" s="663">
        <v>10000</v>
      </c>
    </row>
    <row r="57" spans="2:3" ht="15" x14ac:dyDescent="0.3">
      <c r="B57" s="282">
        <v>1994</v>
      </c>
      <c r="C57" s="663">
        <v>20000</v>
      </c>
    </row>
    <row r="58" spans="2:3" ht="15" x14ac:dyDescent="0.3">
      <c r="B58" s="282">
        <v>1995</v>
      </c>
      <c r="C58" s="663">
        <v>18000</v>
      </c>
    </row>
    <row r="59" spans="2:3" ht="15" x14ac:dyDescent="0.3">
      <c r="B59" s="282">
        <v>1996</v>
      </c>
      <c r="C59" s="663">
        <v>20000</v>
      </c>
    </row>
    <row r="60" spans="2:3" ht="15" x14ac:dyDescent="0.3">
      <c r="B60" s="282">
        <v>1997</v>
      </c>
      <c r="C60" s="663">
        <v>25000</v>
      </c>
    </row>
    <row r="61" spans="2:3" ht="15" x14ac:dyDescent="0.3">
      <c r="B61" s="282">
        <v>1998</v>
      </c>
      <c r="C61" s="663">
        <v>28000</v>
      </c>
    </row>
    <row r="62" spans="2:3" ht="15" x14ac:dyDescent="0.3">
      <c r="B62" s="282">
        <v>1999</v>
      </c>
      <c r="C62" s="663">
        <v>30000</v>
      </c>
    </row>
    <row r="63" spans="2:3" ht="15" x14ac:dyDescent="0.3">
      <c r="B63" s="282">
        <v>2000</v>
      </c>
      <c r="C63" s="663">
        <v>30000</v>
      </c>
    </row>
    <row r="64" spans="2:3" ht="15" x14ac:dyDescent="0.3">
      <c r="B64" s="282">
        <v>2001</v>
      </c>
      <c r="C64" s="663">
        <v>38000</v>
      </c>
    </row>
    <row r="65" spans="2:3" ht="15" x14ac:dyDescent="0.3">
      <c r="B65" s="282">
        <v>2002</v>
      </c>
      <c r="C65" s="663">
        <v>40000</v>
      </c>
    </row>
    <row r="66" spans="2:3" ht="15" x14ac:dyDescent="0.3">
      <c r="B66" s="282">
        <v>2003</v>
      </c>
      <c r="C66" s="663">
        <v>30000</v>
      </c>
    </row>
    <row r="67" spans="2:3" ht="15" x14ac:dyDescent="0.3">
      <c r="B67" s="282">
        <v>2004</v>
      </c>
      <c r="C67" s="663">
        <v>55000</v>
      </c>
    </row>
    <row r="68" spans="2:3" ht="15" x14ac:dyDescent="0.3">
      <c r="B68" s="282">
        <v>2005</v>
      </c>
      <c r="C68" s="663">
        <v>42000</v>
      </c>
    </row>
    <row r="69" spans="2:3" ht="15" x14ac:dyDescent="0.3">
      <c r="B69" s="282">
        <v>2006</v>
      </c>
      <c r="C69" s="663">
        <v>35000</v>
      </c>
    </row>
    <row r="70" spans="2:3" ht="15" x14ac:dyDescent="0.3">
      <c r="B70" s="282">
        <v>2007</v>
      </c>
      <c r="C70" s="663">
        <v>30000</v>
      </c>
    </row>
    <row r="127" spans="2:7" ht="15.6" x14ac:dyDescent="0.3">
      <c r="B127" s="185" t="s">
        <v>18</v>
      </c>
      <c r="C127" s="278" t="s">
        <v>16</v>
      </c>
      <c r="D127" s="278" t="s">
        <v>19</v>
      </c>
      <c r="E127" s="278" t="s">
        <v>308</v>
      </c>
      <c r="F127" s="278" t="s">
        <v>309</v>
      </c>
      <c r="G127" s="278" t="s">
        <v>442</v>
      </c>
    </row>
    <row r="128" spans="2:7" ht="15" x14ac:dyDescent="0.3">
      <c r="B128" s="186">
        <v>36533</v>
      </c>
      <c r="C128" s="666" t="s">
        <v>25</v>
      </c>
      <c r="D128" s="667" t="s">
        <v>20</v>
      </c>
      <c r="E128" s="663">
        <v>2000</v>
      </c>
      <c r="F128" s="663">
        <v>5000</v>
      </c>
      <c r="G128" s="663">
        <f t="shared" ref="G128:G145" si="0">F128-E128</f>
        <v>3000</v>
      </c>
    </row>
    <row r="129" spans="2:7" ht="15" x14ac:dyDescent="0.3">
      <c r="B129" s="186">
        <v>36531</v>
      </c>
      <c r="C129" s="666" t="s">
        <v>21</v>
      </c>
      <c r="D129" s="667" t="s">
        <v>20</v>
      </c>
      <c r="E129" s="663">
        <v>4000</v>
      </c>
      <c r="F129" s="663">
        <v>6000</v>
      </c>
      <c r="G129" s="663">
        <f t="shared" si="0"/>
        <v>2000</v>
      </c>
    </row>
    <row r="130" spans="2:7" ht="15" x14ac:dyDescent="0.3">
      <c r="B130" s="186">
        <v>36542</v>
      </c>
      <c r="C130" s="666" t="s">
        <v>22</v>
      </c>
      <c r="D130" s="667" t="s">
        <v>20</v>
      </c>
      <c r="E130" s="663">
        <v>6000</v>
      </c>
      <c r="F130" s="663">
        <v>8000</v>
      </c>
      <c r="G130" s="663">
        <f t="shared" si="0"/>
        <v>2000</v>
      </c>
    </row>
    <row r="131" spans="2:7" ht="15" x14ac:dyDescent="0.3">
      <c r="B131" s="186">
        <v>36535</v>
      </c>
      <c r="C131" s="666" t="s">
        <v>22</v>
      </c>
      <c r="D131" s="667" t="s">
        <v>24</v>
      </c>
      <c r="E131" s="663">
        <v>8000</v>
      </c>
      <c r="F131" s="663">
        <v>10000</v>
      </c>
      <c r="G131" s="663">
        <f t="shared" si="0"/>
        <v>2000</v>
      </c>
    </row>
    <row r="132" spans="2:7" ht="15" x14ac:dyDescent="0.3">
      <c r="B132" s="186">
        <v>36531</v>
      </c>
      <c r="C132" s="666" t="s">
        <v>23</v>
      </c>
      <c r="D132" s="667" t="s">
        <v>20</v>
      </c>
      <c r="E132" s="663">
        <v>10000</v>
      </c>
      <c r="F132" s="663">
        <v>20000</v>
      </c>
      <c r="G132" s="663">
        <f t="shared" si="0"/>
        <v>10000</v>
      </c>
    </row>
    <row r="133" spans="2:7" ht="15" x14ac:dyDescent="0.3">
      <c r="B133" s="186">
        <v>36526</v>
      </c>
      <c r="C133" s="666" t="s">
        <v>26</v>
      </c>
      <c r="D133" s="667" t="s">
        <v>24</v>
      </c>
      <c r="E133" s="663">
        <v>14000</v>
      </c>
      <c r="F133" s="663">
        <v>18000</v>
      </c>
      <c r="G133" s="663">
        <f t="shared" si="0"/>
        <v>4000</v>
      </c>
    </row>
    <row r="134" spans="2:7" ht="15" x14ac:dyDescent="0.3">
      <c r="B134" s="186">
        <v>36528</v>
      </c>
      <c r="C134" s="666" t="s">
        <v>27</v>
      </c>
      <c r="D134" s="667" t="s">
        <v>24</v>
      </c>
      <c r="E134" s="663">
        <v>16000</v>
      </c>
      <c r="F134" s="663">
        <v>20000</v>
      </c>
      <c r="G134" s="663">
        <f t="shared" si="0"/>
        <v>4000</v>
      </c>
    </row>
    <row r="135" spans="2:7" ht="15" x14ac:dyDescent="0.3">
      <c r="B135" s="186">
        <v>36544</v>
      </c>
      <c r="C135" s="666" t="s">
        <v>27</v>
      </c>
      <c r="D135" s="666" t="s">
        <v>24</v>
      </c>
      <c r="E135" s="663">
        <v>18000</v>
      </c>
      <c r="F135" s="663">
        <v>25000</v>
      </c>
      <c r="G135" s="663">
        <f t="shared" si="0"/>
        <v>7000</v>
      </c>
    </row>
    <row r="136" spans="2:7" ht="15" x14ac:dyDescent="0.3">
      <c r="B136" s="186">
        <v>36545</v>
      </c>
      <c r="C136" s="666" t="s">
        <v>28</v>
      </c>
      <c r="D136" s="666" t="s">
        <v>24</v>
      </c>
      <c r="E136" s="663">
        <v>20000</v>
      </c>
      <c r="F136" s="663">
        <v>28000</v>
      </c>
      <c r="G136" s="663">
        <f t="shared" si="0"/>
        <v>8000</v>
      </c>
    </row>
    <row r="137" spans="2:7" ht="15" x14ac:dyDescent="0.3">
      <c r="B137" s="186">
        <v>36535</v>
      </c>
      <c r="C137" s="666" t="s">
        <v>29</v>
      </c>
      <c r="D137" s="667" t="s">
        <v>24</v>
      </c>
      <c r="E137" s="663">
        <v>25000</v>
      </c>
      <c r="F137" s="663">
        <v>30000</v>
      </c>
      <c r="G137" s="663">
        <f t="shared" si="0"/>
        <v>5000</v>
      </c>
    </row>
    <row r="138" spans="2:7" ht="15" x14ac:dyDescent="0.3">
      <c r="B138" s="186">
        <v>36540</v>
      </c>
      <c r="C138" s="666" t="s">
        <v>25</v>
      </c>
      <c r="D138" s="667" t="s">
        <v>30</v>
      </c>
      <c r="E138" s="663">
        <v>28000</v>
      </c>
      <c r="F138" s="663">
        <v>30000</v>
      </c>
      <c r="G138" s="663">
        <f t="shared" si="0"/>
        <v>2000</v>
      </c>
    </row>
    <row r="139" spans="2:7" ht="15" x14ac:dyDescent="0.3">
      <c r="B139" s="186">
        <v>36538</v>
      </c>
      <c r="C139" s="666" t="s">
        <v>31</v>
      </c>
      <c r="D139" s="667" t="s">
        <v>30</v>
      </c>
      <c r="E139" s="663">
        <v>30000</v>
      </c>
      <c r="F139" s="663">
        <v>38000</v>
      </c>
      <c r="G139" s="663">
        <f t="shared" si="0"/>
        <v>8000</v>
      </c>
    </row>
    <row r="140" spans="2:7" ht="15" x14ac:dyDescent="0.3">
      <c r="B140" s="186">
        <v>36538</v>
      </c>
      <c r="C140" s="666" t="s">
        <v>32</v>
      </c>
      <c r="D140" s="667" t="s">
        <v>30</v>
      </c>
      <c r="E140" s="663">
        <v>20000</v>
      </c>
      <c r="F140" s="663">
        <v>40000</v>
      </c>
      <c r="G140" s="663">
        <f t="shared" si="0"/>
        <v>20000</v>
      </c>
    </row>
    <row r="141" spans="2:7" ht="15" x14ac:dyDescent="0.3">
      <c r="B141" s="186">
        <v>36536</v>
      </c>
      <c r="C141" s="666" t="s">
        <v>26</v>
      </c>
      <c r="D141" s="667" t="s">
        <v>33</v>
      </c>
      <c r="E141" s="663">
        <v>36000</v>
      </c>
      <c r="F141" s="663">
        <v>30000</v>
      </c>
      <c r="G141" s="663">
        <f t="shared" si="0"/>
        <v>-6000</v>
      </c>
    </row>
    <row r="142" spans="2:7" ht="15" x14ac:dyDescent="0.3">
      <c r="B142" s="186">
        <v>36537</v>
      </c>
      <c r="C142" s="666" t="s">
        <v>26</v>
      </c>
      <c r="D142" s="667" t="s">
        <v>33</v>
      </c>
      <c r="E142" s="663">
        <v>50000</v>
      </c>
      <c r="F142" s="663">
        <v>55000</v>
      </c>
      <c r="G142" s="663">
        <f t="shared" si="0"/>
        <v>5000</v>
      </c>
    </row>
    <row r="143" spans="2:7" ht="15" x14ac:dyDescent="0.3">
      <c r="B143" s="186">
        <v>36532</v>
      </c>
      <c r="C143" s="666" t="s">
        <v>31</v>
      </c>
      <c r="D143" s="667" t="s">
        <v>33</v>
      </c>
      <c r="E143" s="663">
        <v>38000</v>
      </c>
      <c r="F143" s="663">
        <v>42000</v>
      </c>
      <c r="G143" s="663">
        <f t="shared" si="0"/>
        <v>4000</v>
      </c>
    </row>
    <row r="144" spans="2:7" ht="15" x14ac:dyDescent="0.3">
      <c r="B144" s="187">
        <v>36547</v>
      </c>
      <c r="C144" s="666" t="s">
        <v>22</v>
      </c>
      <c r="D144" s="666" t="s">
        <v>33</v>
      </c>
      <c r="E144" s="663">
        <v>40000</v>
      </c>
      <c r="F144" s="663">
        <v>35000</v>
      </c>
      <c r="G144" s="663">
        <f t="shared" si="0"/>
        <v>-5000</v>
      </c>
    </row>
    <row r="145" spans="2:7" ht="15" x14ac:dyDescent="0.3">
      <c r="B145" s="188">
        <v>36529</v>
      </c>
      <c r="C145" s="666" t="s">
        <v>28</v>
      </c>
      <c r="D145" s="667" t="s">
        <v>33</v>
      </c>
      <c r="E145" s="663">
        <v>42000</v>
      </c>
      <c r="F145" s="663">
        <v>30000</v>
      </c>
      <c r="G145" s="663">
        <f t="shared" si="0"/>
        <v>-12000</v>
      </c>
    </row>
  </sheetData>
  <pageMargins left="0.7" right="0.7" top="0.75" bottom="0.75" header="0.3" footer="0.3"/>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FE2DF-FFF4-4E8A-ADC0-D53A41ACB966}">
  <dimension ref="A2:G50"/>
  <sheetViews>
    <sheetView topLeftCell="A40" zoomScaleNormal="100" workbookViewId="0">
      <selection activeCell="C19" sqref="C19"/>
    </sheetView>
  </sheetViews>
  <sheetFormatPr defaultRowHeight="17.55" customHeight="1" x14ac:dyDescent="0.3"/>
  <cols>
    <col min="1" max="1" width="17.6640625" customWidth="1"/>
    <col min="2" max="2" width="16.44140625" customWidth="1"/>
    <col min="3" max="3" width="18.109375" customWidth="1"/>
    <col min="4" max="4" width="13.21875" customWidth="1"/>
    <col min="5" max="5" width="14.5546875" customWidth="1"/>
    <col min="6" max="6" width="21.6640625" customWidth="1"/>
    <col min="7" max="7" width="12.88671875" customWidth="1"/>
  </cols>
  <sheetData>
    <row r="2" spans="1:7" ht="17.55" customHeight="1" x14ac:dyDescent="0.3">
      <c r="A2" s="211" t="s">
        <v>376</v>
      </c>
      <c r="B2" s="211" t="s">
        <v>378</v>
      </c>
    </row>
    <row r="3" spans="1:7" ht="17.55" customHeight="1" x14ac:dyDescent="0.3">
      <c r="A3" s="218" t="s">
        <v>324</v>
      </c>
      <c r="B3" s="214">
        <v>180000</v>
      </c>
    </row>
    <row r="4" spans="1:7" ht="13.95" customHeight="1" x14ac:dyDescent="0.3">
      <c r="A4" s="218" t="s">
        <v>375</v>
      </c>
      <c r="B4" s="214">
        <v>200000</v>
      </c>
    </row>
    <row r="5" spans="1:7" ht="17.55" customHeight="1" x14ac:dyDescent="0.3">
      <c r="A5" s="218" t="s">
        <v>382</v>
      </c>
      <c r="B5" s="214">
        <v>225000</v>
      </c>
      <c r="D5" s="211" t="s">
        <v>376</v>
      </c>
      <c r="E5" s="211" t="s">
        <v>378</v>
      </c>
      <c r="F5" s="211" t="s">
        <v>665</v>
      </c>
    </row>
    <row r="6" spans="1:7" ht="17.55" customHeight="1" x14ac:dyDescent="0.3">
      <c r="A6" s="218" t="s">
        <v>374</v>
      </c>
      <c r="B6" s="214">
        <v>250000</v>
      </c>
      <c r="D6" s="218" t="s">
        <v>324</v>
      </c>
      <c r="E6" s="214">
        <v>180000</v>
      </c>
      <c r="F6" s="217">
        <v>90000</v>
      </c>
    </row>
    <row r="7" spans="1:7" ht="17.55" customHeight="1" x14ac:dyDescent="0.3">
      <c r="A7" s="218" t="s">
        <v>323</v>
      </c>
      <c r="B7" s="214">
        <v>400000</v>
      </c>
      <c r="D7" s="218" t="s">
        <v>375</v>
      </c>
      <c r="E7" s="214">
        <v>200000</v>
      </c>
      <c r="F7" s="217">
        <v>40000</v>
      </c>
    </row>
    <row r="8" spans="1:7" ht="17.55" customHeight="1" x14ac:dyDescent="0.3">
      <c r="A8" s="218" t="s">
        <v>381</v>
      </c>
      <c r="B8" s="214">
        <v>450000</v>
      </c>
      <c r="D8" s="218" t="s">
        <v>382</v>
      </c>
      <c r="E8" s="214">
        <v>225000</v>
      </c>
      <c r="F8" s="218">
        <v>-50000</v>
      </c>
    </row>
    <row r="9" spans="1:7" ht="17.55" customHeight="1" x14ac:dyDescent="0.3">
      <c r="A9" s="218" t="s">
        <v>373</v>
      </c>
      <c r="B9" s="214">
        <v>500000</v>
      </c>
      <c r="D9" s="218" t="s">
        <v>374</v>
      </c>
      <c r="E9" s="214">
        <v>250000</v>
      </c>
      <c r="F9" s="217">
        <v>35000</v>
      </c>
    </row>
    <row r="10" spans="1:7" ht="17.55" customHeight="1" x14ac:dyDescent="0.3">
      <c r="A10" s="218" t="s">
        <v>461</v>
      </c>
      <c r="B10" s="214">
        <v>-600000</v>
      </c>
      <c r="D10" s="218" t="s">
        <v>323</v>
      </c>
      <c r="E10" s="214">
        <v>400000</v>
      </c>
      <c r="F10" s="217">
        <v>78000</v>
      </c>
    </row>
    <row r="11" spans="1:7" ht="17.55" customHeight="1" x14ac:dyDescent="0.3">
      <c r="D11" s="218" t="s">
        <v>381</v>
      </c>
      <c r="E11" s="214">
        <v>450000</v>
      </c>
      <c r="F11" s="218">
        <v>30000</v>
      </c>
    </row>
    <row r="12" spans="1:7" ht="17.55" customHeight="1" x14ac:dyDescent="0.3">
      <c r="D12" s="218" t="s">
        <v>373</v>
      </c>
      <c r="E12" s="214">
        <v>500000</v>
      </c>
      <c r="F12" s="218">
        <v>-60000</v>
      </c>
    </row>
    <row r="13" spans="1:7" ht="17.55" customHeight="1" x14ac:dyDescent="0.3">
      <c r="B13" s="283"/>
      <c r="C13" s="283"/>
      <c r="D13" s="221" t="s">
        <v>372</v>
      </c>
      <c r="E13" s="222">
        <v>600000</v>
      </c>
      <c r="F13" s="221">
        <v>48000</v>
      </c>
    </row>
    <row r="14" spans="1:7" ht="75.45" customHeight="1" x14ac:dyDescent="0.3">
      <c r="D14" s="218" t="s">
        <v>668</v>
      </c>
      <c r="E14" s="277"/>
      <c r="F14" s="277"/>
      <c r="G14" s="755" t="s">
        <v>669</v>
      </c>
    </row>
    <row r="15" spans="1:7" ht="75.45" customHeight="1" x14ac:dyDescent="0.3">
      <c r="D15" s="218" t="s">
        <v>667</v>
      </c>
      <c r="E15" s="277"/>
      <c r="F15" s="277"/>
      <c r="G15" s="755"/>
    </row>
    <row r="16" spans="1:7" ht="84.45" customHeight="1" x14ac:dyDescent="0.3">
      <c r="D16" s="218" t="s">
        <v>666</v>
      </c>
      <c r="E16" s="277"/>
      <c r="F16" s="277"/>
      <c r="G16" s="755"/>
    </row>
    <row r="42" spans="1:3" ht="17.55" customHeight="1" x14ac:dyDescent="0.3">
      <c r="A42" s="211" t="s">
        <v>376</v>
      </c>
      <c r="B42" s="211" t="s">
        <v>378</v>
      </c>
      <c r="C42" s="211" t="s">
        <v>665</v>
      </c>
    </row>
    <row r="43" spans="1:3" ht="17.55" customHeight="1" x14ac:dyDescent="0.3">
      <c r="A43" s="218" t="s">
        <v>324</v>
      </c>
      <c r="B43" s="214">
        <v>180000</v>
      </c>
      <c r="C43" s="217">
        <v>90000</v>
      </c>
    </row>
    <row r="44" spans="1:3" ht="17.55" customHeight="1" x14ac:dyDescent="0.3">
      <c r="A44" s="218" t="s">
        <v>375</v>
      </c>
      <c r="B44" s="214">
        <v>200000</v>
      </c>
      <c r="C44" s="217">
        <v>40000</v>
      </c>
    </row>
    <row r="45" spans="1:3" ht="17.55" customHeight="1" x14ac:dyDescent="0.3">
      <c r="A45" s="218" t="s">
        <v>382</v>
      </c>
      <c r="B45" s="214">
        <v>225000</v>
      </c>
      <c r="C45" s="218">
        <v>-50000</v>
      </c>
    </row>
    <row r="46" spans="1:3" ht="17.55" customHeight="1" x14ac:dyDescent="0.3">
      <c r="A46" s="218" t="s">
        <v>374</v>
      </c>
      <c r="B46" s="214">
        <v>250000</v>
      </c>
      <c r="C46" s="217">
        <v>35000</v>
      </c>
    </row>
    <row r="47" spans="1:3" ht="17.55" customHeight="1" x14ac:dyDescent="0.3">
      <c r="A47" s="218" t="s">
        <v>323</v>
      </c>
      <c r="B47" s="214">
        <v>400000</v>
      </c>
      <c r="C47" s="217">
        <v>78000</v>
      </c>
    </row>
    <row r="48" spans="1:3" ht="17.55" customHeight="1" x14ac:dyDescent="0.3">
      <c r="A48" s="218" t="s">
        <v>381</v>
      </c>
      <c r="B48" s="214">
        <v>450000</v>
      </c>
      <c r="C48" s="218">
        <v>30000</v>
      </c>
    </row>
    <row r="49" spans="1:3" ht="17.55" customHeight="1" x14ac:dyDescent="0.3">
      <c r="A49" s="218" t="s">
        <v>373</v>
      </c>
      <c r="B49" s="214">
        <v>500000</v>
      </c>
      <c r="C49" s="218">
        <v>-60000</v>
      </c>
    </row>
    <row r="50" spans="1:3" ht="17.55" customHeight="1" x14ac:dyDescent="0.3">
      <c r="A50" s="218" t="s">
        <v>372</v>
      </c>
      <c r="B50" s="214">
        <v>600000</v>
      </c>
      <c r="C50" s="218">
        <v>48000</v>
      </c>
    </row>
  </sheetData>
  <sortState xmlns:xlrd2="http://schemas.microsoft.com/office/spreadsheetml/2017/richdata2" ref="D6:F13">
    <sortCondition ref="E6:E13"/>
  </sortState>
  <mergeCells count="1">
    <mergeCell ref="G14:G16"/>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type="stacked" displayEmptyCellsAs="gap" markers="1" high="1" low="1" first="1" last="1" negative="1" displayXAxis="1" xr2:uid="{62228B69-2915-4EB2-BDF5-8F5718D8099C}">
          <x14:colorSeries theme="4" tint="-0.249977111117893"/>
          <x14:colorNegative rgb="FFC00000"/>
          <x14:colorAxis rgb="FF000000"/>
          <x14:colorMarkers rgb="FFD00000"/>
          <x14:colorFirst rgb="FFD00000"/>
          <x14:colorLast rgb="FFD00000"/>
          <x14:colorHigh theme="9" tint="-0.249977111117893"/>
          <x14:colorLow rgb="FFFFFF00"/>
          <x14:sparklines>
            <x14:sparkline>
              <xm:f>'Charts - Sprklne, Wtrf, Fnnl'!E8:E15</xm:f>
              <xm:sqref>E16</xm:sqref>
            </x14:sparkline>
            <x14:sparkline>
              <xm:f>'Charts - Sprklne, Wtrf, Fnnl'!F8:F15</xm:f>
              <xm:sqref>F16</xm:sqref>
            </x14:sparkline>
          </x14:sparklines>
        </x14:sparklineGroup>
        <x14:sparklineGroup type="column" displayEmptyCellsAs="gap" markers="1" high="1" low="1" first="1" last="1" negative="1" displayXAxis="1" xr2:uid="{104B67DF-0A99-45F6-858E-84DB6342642A}">
          <x14:colorSeries theme="4" tint="-0.249977111117893"/>
          <x14:colorNegative rgb="FFC00000"/>
          <x14:colorAxis rgb="FF000000"/>
          <x14:colorMarkers rgb="FFD00000"/>
          <x14:colorFirst rgb="FFD00000"/>
          <x14:colorLast rgb="FFD00000"/>
          <x14:colorHigh theme="9" tint="-0.249977111117893"/>
          <x14:colorLow rgb="FFFFFF00"/>
          <x14:sparklines>
            <x14:sparkline>
              <xm:f>'Charts - Sprklne, Wtrf, Fnnl'!E7:E14</xm:f>
              <xm:sqref>E15</xm:sqref>
            </x14:sparkline>
            <x14:sparkline>
              <xm:f>'Charts - Sprklne, Wtrf, Fnnl'!F7:F14</xm:f>
              <xm:sqref>F15</xm:sqref>
            </x14:sparkline>
          </x14:sparklines>
        </x14:sparklineGroup>
        <x14:sparklineGroup displayEmptyCellsAs="gap" markers="1" high="1" low="1" first="1" last="1" negative="1" displayXAxis="1" xr2:uid="{5CCA5D95-65FB-43F9-88DB-E7576A553712}">
          <x14:colorSeries rgb="FF000000"/>
          <x14:colorNegative rgb="FF0070C0"/>
          <x14:colorAxis rgb="FF000000"/>
          <x14:colorMarkers rgb="FFC00000"/>
          <x14:colorFirst rgb="FF0070C0"/>
          <x14:colorLast rgb="FF0070C0"/>
          <x14:colorHigh rgb="FF0070C0"/>
          <x14:colorLow rgb="FF0070C0"/>
          <x14:sparklines>
            <x14:sparkline>
              <xm:f>'Charts - Sprklne, Wtrf, Fnnl'!E6:E13</xm:f>
              <xm:sqref>E14</xm:sqref>
            </x14:sparkline>
            <x14:sparkline>
              <xm:f>'Charts - Sprklne, Wtrf, Fnnl'!F6:F13</xm:f>
              <xm:sqref>F14</xm:sqref>
            </x14:sparkline>
          </x14:sparklines>
        </x14:sparklineGroup>
      </x14:sparklineGroup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F4278-0216-4834-88F5-81048CE524CD}">
  <dimension ref="G1:K72"/>
  <sheetViews>
    <sheetView workbookViewId="0">
      <selection activeCell="C19" sqref="C19"/>
    </sheetView>
  </sheetViews>
  <sheetFormatPr defaultColWidth="8.77734375" defaultRowHeight="16.5" customHeight="1" x14ac:dyDescent="0.3"/>
  <cols>
    <col min="1" max="1" width="8.77734375" style="284"/>
    <col min="2" max="2" width="16.5546875" style="284" customWidth="1"/>
    <col min="3" max="3" width="16.6640625" style="284" customWidth="1"/>
    <col min="4" max="4" width="16.44140625" style="284" customWidth="1"/>
    <col min="5" max="5" width="8.77734375" style="284"/>
    <col min="6" max="6" width="11.77734375" style="284" customWidth="1"/>
    <col min="7" max="7" width="15.6640625" style="284" bestFit="1" customWidth="1"/>
    <col min="8" max="8" width="10.6640625" style="284" customWidth="1"/>
    <col min="9" max="10" width="15.6640625" style="284" bestFit="1" customWidth="1"/>
    <col min="11" max="11" width="15.5546875" style="284" customWidth="1"/>
    <col min="12" max="12" width="13.6640625" style="284" customWidth="1"/>
    <col min="13" max="13" width="20.109375" style="284" customWidth="1"/>
    <col min="14" max="16384" width="8.77734375" style="284"/>
  </cols>
  <sheetData>
    <row r="1" spans="7:9" ht="16.5" customHeight="1" x14ac:dyDescent="0.3">
      <c r="G1" s="285" t="s">
        <v>16</v>
      </c>
      <c r="H1" s="285" t="s">
        <v>19</v>
      </c>
      <c r="I1" s="285" t="s">
        <v>308</v>
      </c>
    </row>
    <row r="2" spans="7:9" ht="16.5" customHeight="1" x14ac:dyDescent="0.3">
      <c r="G2" s="286" t="s">
        <v>25</v>
      </c>
      <c r="H2" s="287" t="s">
        <v>20</v>
      </c>
      <c r="I2" s="288">
        <v>2000</v>
      </c>
    </row>
    <row r="3" spans="7:9" ht="16.5" customHeight="1" x14ac:dyDescent="0.3">
      <c r="G3" s="286" t="s">
        <v>21</v>
      </c>
      <c r="H3" s="287" t="s">
        <v>20</v>
      </c>
      <c r="I3" s="288">
        <v>4000</v>
      </c>
    </row>
    <row r="4" spans="7:9" ht="16.5" customHeight="1" x14ac:dyDescent="0.3">
      <c r="G4" s="286" t="s">
        <v>22</v>
      </c>
      <c r="H4" s="287" t="s">
        <v>20</v>
      </c>
      <c r="I4" s="288">
        <v>6000</v>
      </c>
    </row>
    <row r="5" spans="7:9" ht="16.5" customHeight="1" x14ac:dyDescent="0.3">
      <c r="G5" s="286" t="s">
        <v>22</v>
      </c>
      <c r="H5" s="287" t="s">
        <v>24</v>
      </c>
      <c r="I5" s="288">
        <v>8000</v>
      </c>
    </row>
    <row r="6" spans="7:9" ht="16.5" customHeight="1" x14ac:dyDescent="0.3">
      <c r="G6" s="286" t="s">
        <v>23</v>
      </c>
      <c r="H6" s="287" t="s">
        <v>20</v>
      </c>
      <c r="I6" s="288">
        <v>10000</v>
      </c>
    </row>
    <row r="7" spans="7:9" ht="16.5" customHeight="1" x14ac:dyDescent="0.3">
      <c r="G7" s="286" t="s">
        <v>26</v>
      </c>
      <c r="H7" s="287" t="s">
        <v>24</v>
      </c>
      <c r="I7" s="288">
        <v>14000</v>
      </c>
    </row>
    <row r="8" spans="7:9" ht="16.5" customHeight="1" x14ac:dyDescent="0.3">
      <c r="G8" s="286" t="s">
        <v>27</v>
      </c>
      <c r="H8" s="287" t="s">
        <v>24</v>
      </c>
      <c r="I8" s="288">
        <v>16000</v>
      </c>
    </row>
    <row r="9" spans="7:9" ht="16.5" customHeight="1" x14ac:dyDescent="0.3">
      <c r="G9" s="286" t="s">
        <v>27</v>
      </c>
      <c r="H9" s="286" t="s">
        <v>24</v>
      </c>
      <c r="I9" s="288">
        <v>18000</v>
      </c>
    </row>
    <row r="10" spans="7:9" ht="16.5" customHeight="1" x14ac:dyDescent="0.3">
      <c r="G10" s="286" t="s">
        <v>28</v>
      </c>
      <c r="H10" s="286" t="s">
        <v>24</v>
      </c>
      <c r="I10" s="288">
        <v>20000</v>
      </c>
    </row>
    <row r="11" spans="7:9" ht="16.5" customHeight="1" x14ac:dyDescent="0.3">
      <c r="G11" s="286" t="s">
        <v>29</v>
      </c>
      <c r="H11" s="287" t="s">
        <v>24</v>
      </c>
      <c r="I11" s="288">
        <v>20000</v>
      </c>
    </row>
    <row r="12" spans="7:9" ht="16.5" customHeight="1" x14ac:dyDescent="0.3">
      <c r="G12" s="286" t="s">
        <v>25</v>
      </c>
      <c r="H12" s="287" t="s">
        <v>30</v>
      </c>
      <c r="I12" s="288">
        <v>25000</v>
      </c>
    </row>
    <row r="13" spans="7:9" ht="16.5" customHeight="1" x14ac:dyDescent="0.3">
      <c r="G13" s="286" t="s">
        <v>31</v>
      </c>
      <c r="H13" s="287" t="s">
        <v>30</v>
      </c>
      <c r="I13" s="288">
        <v>28000</v>
      </c>
    </row>
    <row r="14" spans="7:9" ht="16.5" customHeight="1" x14ac:dyDescent="0.3">
      <c r="G14" s="286" t="s">
        <v>32</v>
      </c>
      <c r="H14" s="287" t="s">
        <v>30</v>
      </c>
      <c r="I14" s="288">
        <v>30000</v>
      </c>
    </row>
    <row r="15" spans="7:9" ht="16.5" customHeight="1" x14ac:dyDescent="0.3">
      <c r="G15" s="286" t="s">
        <v>26</v>
      </c>
      <c r="H15" s="287" t="s">
        <v>33</v>
      </c>
      <c r="I15" s="288">
        <v>36000</v>
      </c>
    </row>
    <row r="16" spans="7:9" ht="16.5" customHeight="1" x14ac:dyDescent="0.3">
      <c r="G16" s="286" t="s">
        <v>26</v>
      </c>
      <c r="H16" s="287" t="s">
        <v>33</v>
      </c>
      <c r="I16" s="288">
        <v>38000</v>
      </c>
    </row>
    <row r="17" spans="7:9" ht="16.5" customHeight="1" x14ac:dyDescent="0.3">
      <c r="G17" s="286" t="s">
        <v>31</v>
      </c>
      <c r="H17" s="287" t="s">
        <v>33</v>
      </c>
      <c r="I17" s="288">
        <v>40000</v>
      </c>
    </row>
    <row r="18" spans="7:9" ht="16.5" customHeight="1" x14ac:dyDescent="0.3">
      <c r="G18" s="286" t="s">
        <v>22</v>
      </c>
      <c r="H18" s="286" t="s">
        <v>33</v>
      </c>
      <c r="I18" s="288">
        <v>42000</v>
      </c>
    </row>
    <row r="19" spans="7:9" ht="16.5" customHeight="1" x14ac:dyDescent="0.3">
      <c r="G19" s="286" t="s">
        <v>28</v>
      </c>
      <c r="H19" s="287" t="s">
        <v>33</v>
      </c>
      <c r="I19" s="288">
        <v>50000</v>
      </c>
    </row>
    <row r="54" spans="9:11" ht="16.5" customHeight="1" x14ac:dyDescent="0.3">
      <c r="I54" s="285" t="s">
        <v>16</v>
      </c>
      <c r="J54" s="285" t="s">
        <v>19</v>
      </c>
      <c r="K54" s="285" t="s">
        <v>308</v>
      </c>
    </row>
    <row r="55" spans="9:11" ht="16.5" customHeight="1" x14ac:dyDescent="0.3">
      <c r="I55" s="286" t="s">
        <v>25</v>
      </c>
      <c r="J55" s="287" t="s">
        <v>20</v>
      </c>
      <c r="K55" s="288">
        <v>2000</v>
      </c>
    </row>
    <row r="56" spans="9:11" ht="16.5" customHeight="1" x14ac:dyDescent="0.3">
      <c r="I56" s="286" t="s">
        <v>21</v>
      </c>
      <c r="J56" s="287" t="s">
        <v>20</v>
      </c>
      <c r="K56" s="288">
        <v>4000</v>
      </c>
    </row>
    <row r="57" spans="9:11" ht="16.5" customHeight="1" x14ac:dyDescent="0.3">
      <c r="I57" s="286" t="s">
        <v>22</v>
      </c>
      <c r="J57" s="287" t="s">
        <v>20</v>
      </c>
      <c r="K57" s="288">
        <v>6000</v>
      </c>
    </row>
    <row r="58" spans="9:11" ht="16.5" customHeight="1" x14ac:dyDescent="0.3">
      <c r="I58" s="286" t="s">
        <v>22</v>
      </c>
      <c r="J58" s="287" t="s">
        <v>30</v>
      </c>
      <c r="K58" s="288">
        <v>8000</v>
      </c>
    </row>
    <row r="59" spans="9:11" ht="16.5" customHeight="1" x14ac:dyDescent="0.3">
      <c r="I59" s="286" t="s">
        <v>23</v>
      </c>
      <c r="J59" s="287" t="s">
        <v>20</v>
      </c>
      <c r="K59" s="288">
        <v>10000</v>
      </c>
    </row>
    <row r="60" spans="9:11" ht="16.5" customHeight="1" x14ac:dyDescent="0.3">
      <c r="I60" s="286" t="s">
        <v>26</v>
      </c>
      <c r="J60" s="287" t="s">
        <v>24</v>
      </c>
      <c r="K60" s="288">
        <v>14000</v>
      </c>
    </row>
    <row r="61" spans="9:11" ht="16.5" customHeight="1" x14ac:dyDescent="0.3">
      <c r="I61" s="286" t="s">
        <v>27</v>
      </c>
      <c r="J61" s="287" t="s">
        <v>24</v>
      </c>
      <c r="K61" s="288">
        <v>16000</v>
      </c>
    </row>
    <row r="62" spans="9:11" ht="16.5" customHeight="1" x14ac:dyDescent="0.3">
      <c r="I62" s="286" t="s">
        <v>27</v>
      </c>
      <c r="J62" s="286" t="s">
        <v>24</v>
      </c>
      <c r="K62" s="288">
        <v>18000</v>
      </c>
    </row>
    <row r="63" spans="9:11" ht="16.5" customHeight="1" x14ac:dyDescent="0.3">
      <c r="I63" s="286" t="s">
        <v>28</v>
      </c>
      <c r="J63" s="286" t="s">
        <v>24</v>
      </c>
      <c r="K63" s="288">
        <v>20000</v>
      </c>
    </row>
    <row r="64" spans="9:11" ht="16.5" customHeight="1" x14ac:dyDescent="0.3">
      <c r="I64" s="286" t="s">
        <v>29</v>
      </c>
      <c r="J64" s="287" t="s">
        <v>24</v>
      </c>
      <c r="K64" s="288">
        <v>25000</v>
      </c>
    </row>
    <row r="65" spans="9:11" ht="16.5" customHeight="1" x14ac:dyDescent="0.3">
      <c r="I65" s="286" t="s">
        <v>25</v>
      </c>
      <c r="J65" s="287" t="s">
        <v>30</v>
      </c>
      <c r="K65" s="288">
        <v>28000</v>
      </c>
    </row>
    <row r="66" spans="9:11" ht="16.5" customHeight="1" x14ac:dyDescent="0.3">
      <c r="I66" s="286" t="s">
        <v>31</v>
      </c>
      <c r="J66" s="287" t="s">
        <v>30</v>
      </c>
      <c r="K66" s="288">
        <v>30000</v>
      </c>
    </row>
    <row r="67" spans="9:11" ht="16.5" customHeight="1" x14ac:dyDescent="0.3">
      <c r="I67" s="286" t="s">
        <v>32</v>
      </c>
      <c r="J67" s="287" t="s">
        <v>30</v>
      </c>
      <c r="K67" s="288">
        <v>20000</v>
      </c>
    </row>
    <row r="68" spans="9:11" ht="16.5" customHeight="1" x14ac:dyDescent="0.3">
      <c r="I68" s="286" t="s">
        <v>26</v>
      </c>
      <c r="J68" s="287" t="s">
        <v>33</v>
      </c>
      <c r="K68" s="288">
        <v>36000</v>
      </c>
    </row>
    <row r="69" spans="9:11" ht="16.5" customHeight="1" x14ac:dyDescent="0.3">
      <c r="I69" s="286" t="s">
        <v>26</v>
      </c>
      <c r="J69" s="287" t="s">
        <v>33</v>
      </c>
      <c r="K69" s="288">
        <v>50000</v>
      </c>
    </row>
    <row r="70" spans="9:11" ht="16.5" customHeight="1" x14ac:dyDescent="0.3">
      <c r="I70" s="286" t="s">
        <v>31</v>
      </c>
      <c r="J70" s="287" t="s">
        <v>33</v>
      </c>
      <c r="K70" s="288">
        <v>38000</v>
      </c>
    </row>
    <row r="71" spans="9:11" ht="16.5" customHeight="1" x14ac:dyDescent="0.3">
      <c r="I71" s="286" t="s">
        <v>22</v>
      </c>
      <c r="J71" s="286" t="s">
        <v>33</v>
      </c>
      <c r="K71" s="288">
        <v>40000</v>
      </c>
    </row>
    <row r="72" spans="9:11" ht="16.5" customHeight="1" x14ac:dyDescent="0.3">
      <c r="I72" s="286" t="s">
        <v>28</v>
      </c>
      <c r="J72" s="287" t="s">
        <v>33</v>
      </c>
      <c r="K72" s="288">
        <v>42000</v>
      </c>
    </row>
  </sheetData>
  <sortState xmlns:xlrd2="http://schemas.microsoft.com/office/spreadsheetml/2017/richdata2" ref="I2:I19">
    <sortCondition ref="I2:I19"/>
  </sortState>
  <pageMargins left="0.7" right="0.7" top="0.75" bottom="0.75" header="0.3" footer="0.3"/>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EA3A6-E208-4955-AD6E-F7ACFB570151}">
  <dimension ref="B2:F91"/>
  <sheetViews>
    <sheetView zoomScaleNormal="100" workbookViewId="0">
      <selection activeCell="G83" sqref="G83"/>
    </sheetView>
  </sheetViews>
  <sheetFormatPr defaultColWidth="13.6640625" defaultRowHeight="14.4" x14ac:dyDescent="0.3"/>
  <cols>
    <col min="1" max="1" width="13.6640625" style="109"/>
    <col min="2" max="2" width="25.77734375" style="109" customWidth="1"/>
    <col min="3" max="3" width="18.88671875" style="109" customWidth="1"/>
    <col min="4" max="16384" width="13.6640625" style="109"/>
  </cols>
  <sheetData>
    <row r="2" spans="2:6" x14ac:dyDescent="0.3">
      <c r="B2" s="289" t="s">
        <v>462</v>
      </c>
      <c r="C2" s="292" t="s">
        <v>473</v>
      </c>
      <c r="D2" s="289" t="s">
        <v>463</v>
      </c>
      <c r="E2" s="289" t="s">
        <v>464</v>
      </c>
      <c r="F2" s="289" t="s">
        <v>465</v>
      </c>
    </row>
    <row r="3" spans="2:6" x14ac:dyDescent="0.3">
      <c r="B3" s="290" t="s">
        <v>469</v>
      </c>
      <c r="C3" s="293">
        <v>329</v>
      </c>
      <c r="D3" s="291">
        <v>1645</v>
      </c>
      <c r="E3" s="291">
        <v>822.5</v>
      </c>
      <c r="F3" s="290" t="s">
        <v>466</v>
      </c>
    </row>
    <row r="4" spans="2:6" x14ac:dyDescent="0.3">
      <c r="B4" s="290" t="s">
        <v>470</v>
      </c>
      <c r="C4" s="293">
        <v>350</v>
      </c>
      <c r="D4" s="291">
        <v>1750</v>
      </c>
      <c r="E4" s="291">
        <v>875</v>
      </c>
      <c r="F4" s="290" t="s">
        <v>466</v>
      </c>
    </row>
    <row r="5" spans="2:6" x14ac:dyDescent="0.3">
      <c r="B5" s="290" t="s">
        <v>471</v>
      </c>
      <c r="C5" s="293">
        <v>981</v>
      </c>
      <c r="D5" s="291">
        <v>4905</v>
      </c>
      <c r="E5" s="291">
        <v>2452.5</v>
      </c>
      <c r="F5" s="290" t="s">
        <v>466</v>
      </c>
    </row>
    <row r="6" spans="2:6" x14ac:dyDescent="0.3">
      <c r="B6" s="290" t="s">
        <v>469</v>
      </c>
      <c r="C6" s="293">
        <v>843</v>
      </c>
      <c r="D6" s="291">
        <v>4215</v>
      </c>
      <c r="E6" s="291">
        <v>2107.5</v>
      </c>
      <c r="F6" s="290" t="s">
        <v>466</v>
      </c>
    </row>
    <row r="7" spans="2:6" x14ac:dyDescent="0.3">
      <c r="B7" s="290" t="s">
        <v>470</v>
      </c>
      <c r="C7" s="293">
        <v>154</v>
      </c>
      <c r="D7" s="291">
        <v>770</v>
      </c>
      <c r="E7" s="291">
        <v>385</v>
      </c>
      <c r="F7" s="290" t="s">
        <v>466</v>
      </c>
    </row>
    <row r="8" spans="2:6" x14ac:dyDescent="0.3">
      <c r="B8" s="290" t="s">
        <v>471</v>
      </c>
      <c r="C8" s="293">
        <v>993</v>
      </c>
      <c r="D8" s="291">
        <v>4965</v>
      </c>
      <c r="E8" s="291">
        <v>2482.5</v>
      </c>
      <c r="F8" s="290" t="s">
        <v>466</v>
      </c>
    </row>
    <row r="9" spans="2:6" x14ac:dyDescent="0.3">
      <c r="B9" s="290" t="s">
        <v>469</v>
      </c>
      <c r="C9" s="293">
        <v>99</v>
      </c>
      <c r="D9" s="291">
        <v>495</v>
      </c>
      <c r="E9" s="291">
        <v>247.5</v>
      </c>
      <c r="F9" s="290" t="s">
        <v>466</v>
      </c>
    </row>
    <row r="10" spans="2:6" x14ac:dyDescent="0.3">
      <c r="B10" s="290" t="s">
        <v>467</v>
      </c>
      <c r="C10" s="293">
        <v>747</v>
      </c>
      <c r="D10" s="291">
        <v>3735</v>
      </c>
      <c r="E10" s="291">
        <v>1867.5</v>
      </c>
      <c r="F10" s="290" t="s">
        <v>466</v>
      </c>
    </row>
    <row r="11" spans="2:6" x14ac:dyDescent="0.3">
      <c r="B11" s="290" t="s">
        <v>470</v>
      </c>
      <c r="C11" s="293">
        <v>817</v>
      </c>
      <c r="D11" s="291">
        <v>4085</v>
      </c>
      <c r="E11" s="291">
        <v>2042.5</v>
      </c>
      <c r="F11" s="290" t="s">
        <v>466</v>
      </c>
    </row>
    <row r="12" spans="2:6" x14ac:dyDescent="0.3">
      <c r="B12" s="290" t="s">
        <v>471</v>
      </c>
      <c r="C12" s="293">
        <v>798</v>
      </c>
      <c r="D12" s="291">
        <v>3990</v>
      </c>
      <c r="E12" s="291">
        <v>1995</v>
      </c>
      <c r="F12" s="290" t="s">
        <v>466</v>
      </c>
    </row>
    <row r="13" spans="2:6" x14ac:dyDescent="0.3">
      <c r="B13" s="290" t="s">
        <v>469</v>
      </c>
      <c r="C13" s="293">
        <v>680</v>
      </c>
      <c r="D13" s="291">
        <v>3400</v>
      </c>
      <c r="E13" s="291">
        <v>1700</v>
      </c>
      <c r="F13" s="290" t="s">
        <v>466</v>
      </c>
    </row>
    <row r="14" spans="2:6" x14ac:dyDescent="0.3">
      <c r="B14" s="290" t="s">
        <v>467</v>
      </c>
      <c r="C14" s="293">
        <v>383</v>
      </c>
      <c r="D14" s="291">
        <v>1915</v>
      </c>
      <c r="E14" s="291">
        <v>957.5</v>
      </c>
      <c r="F14" s="290" t="s">
        <v>466</v>
      </c>
    </row>
    <row r="15" spans="2:6" x14ac:dyDescent="0.3">
      <c r="B15" s="290" t="s">
        <v>471</v>
      </c>
      <c r="C15" s="293">
        <v>679</v>
      </c>
      <c r="D15" s="291">
        <v>3395</v>
      </c>
      <c r="E15" s="291">
        <v>1697.5</v>
      </c>
      <c r="F15" s="290" t="s">
        <v>466</v>
      </c>
    </row>
    <row r="16" spans="2:6" x14ac:dyDescent="0.3">
      <c r="B16" s="290" t="s">
        <v>470</v>
      </c>
      <c r="C16" s="293">
        <v>77</v>
      </c>
      <c r="D16" s="291">
        <v>385</v>
      </c>
      <c r="E16" s="291">
        <v>192.5</v>
      </c>
      <c r="F16" s="290" t="s">
        <v>474</v>
      </c>
    </row>
    <row r="17" spans="2:6" x14ac:dyDescent="0.3">
      <c r="B17" s="290" t="s">
        <v>469</v>
      </c>
      <c r="C17" s="293">
        <v>910</v>
      </c>
      <c r="D17" s="291">
        <v>4550</v>
      </c>
      <c r="E17" s="291"/>
      <c r="F17" s="290" t="s">
        <v>474</v>
      </c>
    </row>
    <row r="18" spans="2:6" x14ac:dyDescent="0.3">
      <c r="B18" s="290" t="s">
        <v>467</v>
      </c>
      <c r="C18" s="293">
        <v>300</v>
      </c>
      <c r="D18" s="291">
        <v>1500</v>
      </c>
      <c r="E18" s="291">
        <v>750</v>
      </c>
      <c r="F18" s="290" t="s">
        <v>474</v>
      </c>
    </row>
    <row r="19" spans="2:6" x14ac:dyDescent="0.3">
      <c r="B19" s="290" t="s">
        <v>467</v>
      </c>
      <c r="C19" s="293">
        <v>511</v>
      </c>
      <c r="D19" s="291">
        <v>2555</v>
      </c>
      <c r="E19" s="291">
        <v>1277.5</v>
      </c>
      <c r="F19" s="290" t="s">
        <v>474</v>
      </c>
    </row>
    <row r="20" spans="2:6" x14ac:dyDescent="0.3">
      <c r="B20" s="290" t="s">
        <v>471</v>
      </c>
      <c r="C20" s="293">
        <v>868</v>
      </c>
      <c r="D20" s="291">
        <v>4340</v>
      </c>
      <c r="E20" s="291">
        <v>2170</v>
      </c>
      <c r="F20" s="290" t="s">
        <v>474</v>
      </c>
    </row>
    <row r="21" spans="2:6" x14ac:dyDescent="0.3">
      <c r="B21" s="290" t="s">
        <v>472</v>
      </c>
      <c r="C21" s="293">
        <v>211</v>
      </c>
      <c r="D21" s="291">
        <v>1055</v>
      </c>
      <c r="E21" s="291">
        <v>527.5</v>
      </c>
      <c r="F21" s="290" t="s">
        <v>474</v>
      </c>
    </row>
    <row r="22" spans="2:6" x14ac:dyDescent="0.3">
      <c r="B22" s="290" t="s">
        <v>470</v>
      </c>
      <c r="C22" s="293">
        <v>549</v>
      </c>
      <c r="D22" s="291">
        <v>2745</v>
      </c>
      <c r="E22" s="291">
        <v>1372.5</v>
      </c>
      <c r="F22" s="290" t="s">
        <v>474</v>
      </c>
    </row>
    <row r="23" spans="2:6" x14ac:dyDescent="0.3">
      <c r="B23" s="290" t="s">
        <v>470</v>
      </c>
      <c r="C23" s="293">
        <v>469</v>
      </c>
      <c r="D23" s="291">
        <v>2345</v>
      </c>
      <c r="E23" s="291"/>
      <c r="F23" s="290" t="s">
        <v>474</v>
      </c>
    </row>
    <row r="24" spans="2:6" x14ac:dyDescent="0.3">
      <c r="B24" s="290" t="s">
        <v>470</v>
      </c>
      <c r="C24" s="293"/>
      <c r="D24" s="291">
        <v>3505</v>
      </c>
      <c r="E24" s="291">
        <v>1752.5</v>
      </c>
      <c r="F24" s="290" t="s">
        <v>474</v>
      </c>
    </row>
    <row r="25" spans="2:6" x14ac:dyDescent="0.3">
      <c r="B25" s="290" t="s">
        <v>471</v>
      </c>
      <c r="C25" s="293">
        <v>198</v>
      </c>
      <c r="D25" s="291">
        <v>990</v>
      </c>
      <c r="E25" s="291">
        <v>495</v>
      </c>
      <c r="F25" s="290" t="s">
        <v>474</v>
      </c>
    </row>
    <row r="26" spans="2:6" x14ac:dyDescent="0.3">
      <c r="B26" s="290" t="s">
        <v>472</v>
      </c>
      <c r="C26" s="293">
        <v>415</v>
      </c>
      <c r="D26" s="291">
        <v>2075</v>
      </c>
      <c r="E26" s="291">
        <v>1037.5</v>
      </c>
      <c r="F26" s="290" t="s">
        <v>474</v>
      </c>
    </row>
    <row r="27" spans="2:6" x14ac:dyDescent="0.3">
      <c r="B27" s="290" t="s">
        <v>469</v>
      </c>
      <c r="C27" s="293">
        <v>995</v>
      </c>
      <c r="D27" s="291">
        <v>4975</v>
      </c>
      <c r="E27" s="291">
        <v>2487.5</v>
      </c>
      <c r="F27" s="290" t="s">
        <v>474</v>
      </c>
    </row>
    <row r="28" spans="2:6" x14ac:dyDescent="0.3">
      <c r="B28" s="290" t="s">
        <v>470</v>
      </c>
      <c r="C28" s="293">
        <v>205</v>
      </c>
      <c r="D28" s="291">
        <v>1025</v>
      </c>
      <c r="E28" s="291"/>
      <c r="F28" s="290" t="s">
        <v>474</v>
      </c>
    </row>
    <row r="29" spans="2:6" x14ac:dyDescent="0.3">
      <c r="B29" s="290" t="s">
        <v>470</v>
      </c>
      <c r="C29" s="293">
        <v>154</v>
      </c>
      <c r="D29" s="291">
        <v>770</v>
      </c>
      <c r="E29" s="291">
        <v>385</v>
      </c>
      <c r="F29" s="290" t="s">
        <v>474</v>
      </c>
    </row>
    <row r="30" spans="2:6" x14ac:dyDescent="0.3">
      <c r="B30" s="290" t="s">
        <v>469</v>
      </c>
      <c r="C30" s="293">
        <v>236</v>
      </c>
      <c r="D30" s="291">
        <v>1180</v>
      </c>
      <c r="E30" s="291"/>
      <c r="F30" s="290" t="s">
        <v>474</v>
      </c>
    </row>
    <row r="31" spans="2:6" x14ac:dyDescent="0.3">
      <c r="B31" s="290" t="s">
        <v>472</v>
      </c>
      <c r="C31" s="293">
        <v>73</v>
      </c>
      <c r="D31" s="291">
        <v>365</v>
      </c>
      <c r="E31" s="291">
        <v>182.5</v>
      </c>
      <c r="F31" s="290" t="s">
        <v>474</v>
      </c>
    </row>
    <row r="32" spans="2:6" x14ac:dyDescent="0.3">
      <c r="B32" s="290" t="s">
        <v>470</v>
      </c>
      <c r="C32" s="293">
        <v>736</v>
      </c>
      <c r="D32" s="291">
        <v>3680</v>
      </c>
      <c r="E32" s="291">
        <v>1840</v>
      </c>
      <c r="F32" s="290" t="s">
        <v>474</v>
      </c>
    </row>
    <row r="33" spans="2:6" x14ac:dyDescent="0.3">
      <c r="B33" s="290" t="s">
        <v>470</v>
      </c>
      <c r="C33" s="293"/>
      <c r="D33" s="291">
        <v>1300</v>
      </c>
      <c r="E33" s="291">
        <v>650</v>
      </c>
      <c r="F33" s="290" t="s">
        <v>474</v>
      </c>
    </row>
    <row r="34" spans="2:6" x14ac:dyDescent="0.3">
      <c r="B34" s="290" t="s">
        <v>471</v>
      </c>
      <c r="C34" s="293">
        <v>509</v>
      </c>
      <c r="D34" s="291">
        <v>2545</v>
      </c>
      <c r="E34" s="291">
        <v>1272.5</v>
      </c>
      <c r="F34" s="290" t="s">
        <v>474</v>
      </c>
    </row>
    <row r="35" spans="2:6" x14ac:dyDescent="0.3">
      <c r="B35" s="290" t="s">
        <v>471</v>
      </c>
      <c r="C35" s="293">
        <v>381</v>
      </c>
      <c r="D35" s="291">
        <v>1905</v>
      </c>
      <c r="E35" s="291">
        <v>952.5</v>
      </c>
      <c r="F35" s="290" t="s">
        <v>474</v>
      </c>
    </row>
    <row r="36" spans="2:6" x14ac:dyDescent="0.3">
      <c r="B36" s="290" t="s">
        <v>470</v>
      </c>
      <c r="C36" s="293">
        <v>974</v>
      </c>
      <c r="D36" s="291">
        <v>4870</v>
      </c>
      <c r="E36" s="291">
        <v>2435</v>
      </c>
      <c r="F36" s="290" t="s">
        <v>474</v>
      </c>
    </row>
    <row r="37" spans="2:6" x14ac:dyDescent="0.3">
      <c r="B37" s="290" t="s">
        <v>470</v>
      </c>
      <c r="C37" s="293">
        <v>727</v>
      </c>
      <c r="D37" s="291">
        <v>3635</v>
      </c>
      <c r="E37" s="291">
        <v>1817.5</v>
      </c>
      <c r="F37" s="290" t="s">
        <v>474</v>
      </c>
    </row>
    <row r="38" spans="2:6" x14ac:dyDescent="0.3">
      <c r="B38" s="290" t="s">
        <v>470</v>
      </c>
      <c r="C38" s="293">
        <v>162</v>
      </c>
      <c r="D38" s="291">
        <v>810</v>
      </c>
      <c r="E38" s="291">
        <v>405</v>
      </c>
      <c r="F38" s="290" t="s">
        <v>474</v>
      </c>
    </row>
    <row r="39" spans="2:6" x14ac:dyDescent="0.3">
      <c r="B39" s="290" t="s">
        <v>471</v>
      </c>
      <c r="C39" s="293">
        <v>572</v>
      </c>
      <c r="D39" s="291">
        <v>2860</v>
      </c>
      <c r="E39" s="291">
        <v>1430</v>
      </c>
      <c r="F39" s="290" t="s">
        <v>474</v>
      </c>
    </row>
    <row r="40" spans="2:6" x14ac:dyDescent="0.3">
      <c r="B40" s="290" t="s">
        <v>471</v>
      </c>
      <c r="C40" s="293">
        <v>373</v>
      </c>
      <c r="D40" s="291">
        <v>1865</v>
      </c>
      <c r="E40" s="291">
        <v>932.5</v>
      </c>
      <c r="F40" s="290" t="s">
        <v>474</v>
      </c>
    </row>
    <row r="41" spans="2:6" x14ac:dyDescent="0.3">
      <c r="B41" s="290" t="s">
        <v>471</v>
      </c>
      <c r="C41" s="293"/>
      <c r="D41" s="291">
        <v>1620</v>
      </c>
      <c r="E41" s="291">
        <v>810</v>
      </c>
      <c r="F41" s="290" t="s">
        <v>474</v>
      </c>
    </row>
    <row r="42" spans="2:6" x14ac:dyDescent="0.3">
      <c r="B42" s="290" t="s">
        <v>469</v>
      </c>
      <c r="C42" s="293">
        <v>203</v>
      </c>
      <c r="D42" s="291">
        <v>1015</v>
      </c>
      <c r="E42" s="291">
        <v>507.5</v>
      </c>
      <c r="F42" s="290" t="s">
        <v>474</v>
      </c>
    </row>
    <row r="43" spans="2:6" x14ac:dyDescent="0.3">
      <c r="B43" s="290" t="s">
        <v>469</v>
      </c>
      <c r="C43" s="293">
        <v>313</v>
      </c>
      <c r="D43" s="291">
        <v>1565</v>
      </c>
      <c r="E43" s="291"/>
      <c r="F43" s="290" t="s">
        <v>474</v>
      </c>
    </row>
    <row r="44" spans="2:6" x14ac:dyDescent="0.3">
      <c r="B44" s="290" t="s">
        <v>469</v>
      </c>
      <c r="C44" s="293">
        <v>745</v>
      </c>
      <c r="D44" s="291">
        <v>3725</v>
      </c>
      <c r="E44" s="291"/>
      <c r="F44" s="290" t="s">
        <v>474</v>
      </c>
    </row>
    <row r="45" spans="2:6" x14ac:dyDescent="0.3">
      <c r="B45" s="290" t="s">
        <v>472</v>
      </c>
      <c r="C45" s="293">
        <v>819</v>
      </c>
      <c r="D45" s="291">
        <v>4095</v>
      </c>
      <c r="E45" s="291">
        <v>2047.5</v>
      </c>
      <c r="F45" s="290" t="s">
        <v>474</v>
      </c>
    </row>
    <row r="46" spans="2:6" x14ac:dyDescent="0.3">
      <c r="B46" s="290" t="s">
        <v>467</v>
      </c>
      <c r="C46" s="293">
        <v>983</v>
      </c>
      <c r="D46" s="291">
        <v>4915</v>
      </c>
      <c r="E46" s="291">
        <v>2457.5</v>
      </c>
      <c r="F46" s="290" t="s">
        <v>474</v>
      </c>
    </row>
    <row r="47" spans="2:6" x14ac:dyDescent="0.3">
      <c r="B47" s="290" t="s">
        <v>470</v>
      </c>
      <c r="C47" s="293">
        <v>223</v>
      </c>
      <c r="D47" s="291">
        <v>1115</v>
      </c>
      <c r="E47" s="291">
        <v>557.5</v>
      </c>
      <c r="F47" s="290" t="s">
        <v>474</v>
      </c>
    </row>
    <row r="48" spans="2:6" x14ac:dyDescent="0.3">
      <c r="B48" s="290" t="s">
        <v>470</v>
      </c>
      <c r="C48" s="293">
        <v>230</v>
      </c>
      <c r="D48" s="291">
        <v>1150</v>
      </c>
      <c r="E48" s="291">
        <v>575</v>
      </c>
      <c r="F48" s="290" t="s">
        <v>474</v>
      </c>
    </row>
    <row r="49" spans="2:6" x14ac:dyDescent="0.3">
      <c r="B49" s="290" t="s">
        <v>467</v>
      </c>
      <c r="C49" s="293">
        <v>346</v>
      </c>
      <c r="D49" s="291">
        <v>1730</v>
      </c>
      <c r="E49" s="291"/>
      <c r="F49" s="290" t="s">
        <v>474</v>
      </c>
    </row>
    <row r="50" spans="2:6" x14ac:dyDescent="0.3">
      <c r="B50" s="290" t="s">
        <v>469</v>
      </c>
      <c r="C50" s="293">
        <v>958</v>
      </c>
      <c r="D50" s="291">
        <v>4790</v>
      </c>
      <c r="E50" s="291">
        <v>2395</v>
      </c>
      <c r="F50" s="290" t="s">
        <v>474</v>
      </c>
    </row>
    <row r="51" spans="2:6" x14ac:dyDescent="0.3">
      <c r="B51" s="290" t="s">
        <v>470</v>
      </c>
      <c r="C51" s="293">
        <v>58</v>
      </c>
      <c r="D51" s="291">
        <v>290</v>
      </c>
      <c r="E51" s="291">
        <v>145</v>
      </c>
      <c r="F51" s="290" t="s">
        <v>474</v>
      </c>
    </row>
    <row r="52" spans="2:6" x14ac:dyDescent="0.3">
      <c r="B52" s="290" t="s">
        <v>469</v>
      </c>
      <c r="C52" s="293">
        <v>500</v>
      </c>
      <c r="D52" s="291">
        <v>2500</v>
      </c>
      <c r="E52" s="291">
        <v>1250</v>
      </c>
      <c r="F52" s="290" t="s">
        <v>474</v>
      </c>
    </row>
    <row r="53" spans="2:6" x14ac:dyDescent="0.3">
      <c r="B53" s="290" t="s">
        <v>471</v>
      </c>
      <c r="C53" s="293">
        <v>344</v>
      </c>
      <c r="D53" s="291">
        <v>1720</v>
      </c>
      <c r="E53" s="291">
        <v>860</v>
      </c>
      <c r="F53" s="290" t="s">
        <v>474</v>
      </c>
    </row>
    <row r="54" spans="2:6" x14ac:dyDescent="0.3">
      <c r="B54" s="290" t="s">
        <v>467</v>
      </c>
      <c r="C54" s="293">
        <v>541</v>
      </c>
      <c r="D54" s="291">
        <v>2705</v>
      </c>
      <c r="E54" s="291">
        <v>1352.5</v>
      </c>
      <c r="F54" s="290" t="s">
        <v>474</v>
      </c>
    </row>
    <row r="55" spans="2:6" x14ac:dyDescent="0.3">
      <c r="B55" s="290" t="s">
        <v>470</v>
      </c>
      <c r="C55" s="293">
        <v>792</v>
      </c>
      <c r="D55" s="291">
        <v>3960</v>
      </c>
      <c r="E55" s="291"/>
      <c r="F55" s="290" t="s">
        <v>474</v>
      </c>
    </row>
    <row r="56" spans="2:6" x14ac:dyDescent="0.3">
      <c r="B56" s="290" t="s">
        <v>472</v>
      </c>
      <c r="C56" s="293">
        <v>385</v>
      </c>
      <c r="D56" s="291">
        <v>1925</v>
      </c>
      <c r="E56" s="291">
        <v>962.5</v>
      </c>
      <c r="F56" s="290" t="s">
        <v>474</v>
      </c>
    </row>
    <row r="57" spans="2:6" x14ac:dyDescent="0.3">
      <c r="B57" s="290" t="s">
        <v>467</v>
      </c>
      <c r="C57" s="293">
        <v>614</v>
      </c>
      <c r="D57" s="291">
        <v>3070</v>
      </c>
      <c r="E57" s="291">
        <v>1535</v>
      </c>
      <c r="F57" s="290" t="s">
        <v>474</v>
      </c>
    </row>
    <row r="58" spans="2:6" x14ac:dyDescent="0.3">
      <c r="B58" s="290" t="s">
        <v>471</v>
      </c>
      <c r="C58" s="293">
        <v>703</v>
      </c>
      <c r="D58" s="291">
        <v>3515</v>
      </c>
      <c r="E58" s="291">
        <v>1757.5</v>
      </c>
      <c r="F58" s="290" t="s">
        <v>474</v>
      </c>
    </row>
    <row r="59" spans="2:6" x14ac:dyDescent="0.3">
      <c r="B59" s="290" t="s">
        <v>469</v>
      </c>
      <c r="C59" s="293">
        <v>799</v>
      </c>
      <c r="D59" s="291">
        <v>3995</v>
      </c>
      <c r="E59" s="291">
        <v>1997.5</v>
      </c>
      <c r="F59" s="290" t="s">
        <v>474</v>
      </c>
    </row>
    <row r="60" spans="2:6" x14ac:dyDescent="0.3">
      <c r="B60" s="290" t="s">
        <v>467</v>
      </c>
      <c r="C60" s="293"/>
      <c r="D60" s="291">
        <v>4905</v>
      </c>
      <c r="E60" s="291">
        <v>2452.5</v>
      </c>
      <c r="F60" s="290" t="s">
        <v>474</v>
      </c>
    </row>
    <row r="61" spans="2:6" x14ac:dyDescent="0.3">
      <c r="B61" s="290" t="s">
        <v>470</v>
      </c>
      <c r="C61" s="293">
        <v>854</v>
      </c>
      <c r="D61" s="291">
        <v>4270</v>
      </c>
      <c r="E61" s="291">
        <v>2135</v>
      </c>
      <c r="F61" s="290" t="s">
        <v>474</v>
      </c>
    </row>
    <row r="62" spans="2:6" x14ac:dyDescent="0.3">
      <c r="B62" s="290" t="s">
        <v>467</v>
      </c>
      <c r="C62" s="293">
        <v>929</v>
      </c>
      <c r="D62" s="291">
        <v>4645</v>
      </c>
      <c r="E62" s="291"/>
      <c r="F62" s="290" t="s">
        <v>474</v>
      </c>
    </row>
    <row r="63" spans="2:6" x14ac:dyDescent="0.3">
      <c r="B63" s="290" t="s">
        <v>470</v>
      </c>
      <c r="C63" s="293">
        <v>906</v>
      </c>
      <c r="D63" s="291">
        <v>4530</v>
      </c>
      <c r="E63" s="291">
        <v>2265</v>
      </c>
      <c r="F63" s="290" t="s">
        <v>474</v>
      </c>
    </row>
    <row r="64" spans="2:6" x14ac:dyDescent="0.3">
      <c r="B64" s="290" t="s">
        <v>471</v>
      </c>
      <c r="C64" s="293">
        <v>467</v>
      </c>
      <c r="D64" s="291">
        <v>2335</v>
      </c>
      <c r="E64" s="291">
        <v>1167.5</v>
      </c>
      <c r="F64" s="290" t="s">
        <v>474</v>
      </c>
    </row>
    <row r="65" spans="2:6" x14ac:dyDescent="0.3">
      <c r="B65" s="290" t="s">
        <v>469</v>
      </c>
      <c r="C65" s="293">
        <v>133</v>
      </c>
      <c r="D65" s="291">
        <v>665</v>
      </c>
      <c r="E65" s="291">
        <v>332.5</v>
      </c>
      <c r="F65" s="290" t="s">
        <v>474</v>
      </c>
    </row>
    <row r="66" spans="2:6" x14ac:dyDescent="0.3">
      <c r="B66" s="290" t="s">
        <v>467</v>
      </c>
      <c r="C66" s="293">
        <v>587</v>
      </c>
      <c r="D66" s="291">
        <v>2935</v>
      </c>
      <c r="E66" s="291">
        <v>1467.5</v>
      </c>
      <c r="F66" s="290" t="s">
        <v>474</v>
      </c>
    </row>
    <row r="67" spans="2:6" x14ac:dyDescent="0.3">
      <c r="B67" s="290" t="s">
        <v>470</v>
      </c>
      <c r="C67" s="293">
        <v>648</v>
      </c>
      <c r="D67" s="291">
        <v>3240</v>
      </c>
      <c r="E67" s="291">
        <v>1620</v>
      </c>
      <c r="F67" s="290" t="s">
        <v>474</v>
      </c>
    </row>
    <row r="68" spans="2:6" x14ac:dyDescent="0.3">
      <c r="B68" s="290" t="s">
        <v>471</v>
      </c>
      <c r="C68" s="293">
        <v>832</v>
      </c>
      <c r="D68" s="291">
        <v>4160</v>
      </c>
      <c r="E68" s="291">
        <v>2080</v>
      </c>
      <c r="F68" s="290" t="s">
        <v>474</v>
      </c>
    </row>
    <row r="69" spans="2:6" x14ac:dyDescent="0.3">
      <c r="B69" s="290" t="s">
        <v>467</v>
      </c>
      <c r="C69" s="293">
        <v>733</v>
      </c>
      <c r="D69" s="291">
        <v>3665</v>
      </c>
      <c r="E69" s="291">
        <v>1832.5</v>
      </c>
      <c r="F69" s="290" t="s">
        <v>474</v>
      </c>
    </row>
    <row r="70" spans="2:6" x14ac:dyDescent="0.3">
      <c r="B70" s="290" t="s">
        <v>470</v>
      </c>
      <c r="C70" s="293">
        <v>154</v>
      </c>
      <c r="D70" s="291">
        <v>770</v>
      </c>
      <c r="E70" s="291">
        <v>385</v>
      </c>
      <c r="F70" s="290" t="s">
        <v>474</v>
      </c>
    </row>
    <row r="71" spans="2:6" x14ac:dyDescent="0.3">
      <c r="B71" s="290" t="s">
        <v>470</v>
      </c>
      <c r="C71" s="293">
        <v>77</v>
      </c>
      <c r="D71" s="291">
        <v>385</v>
      </c>
      <c r="E71" s="291">
        <v>192.5</v>
      </c>
      <c r="F71" s="290" t="s">
        <v>474</v>
      </c>
    </row>
    <row r="72" spans="2:6" x14ac:dyDescent="0.3">
      <c r="B72" s="290" t="s">
        <v>471</v>
      </c>
      <c r="C72" s="293">
        <v>784</v>
      </c>
      <c r="D72" s="291">
        <v>3920</v>
      </c>
      <c r="E72" s="291">
        <v>1960</v>
      </c>
      <c r="F72" s="290" t="s">
        <v>474</v>
      </c>
    </row>
    <row r="73" spans="2:6" x14ac:dyDescent="0.3">
      <c r="B73" s="290" t="s">
        <v>469</v>
      </c>
      <c r="C73" s="293">
        <v>82</v>
      </c>
      <c r="D73" s="291">
        <v>410</v>
      </c>
      <c r="E73" s="291">
        <v>205</v>
      </c>
      <c r="F73" s="290" t="s">
        <v>474</v>
      </c>
    </row>
    <row r="74" spans="2:6" x14ac:dyDescent="0.3">
      <c r="B74" s="290" t="s">
        <v>472</v>
      </c>
      <c r="C74" s="293">
        <v>530</v>
      </c>
      <c r="D74" s="291">
        <v>2650</v>
      </c>
      <c r="E74" s="291">
        <v>1325</v>
      </c>
      <c r="F74" s="290" t="s">
        <v>474</v>
      </c>
    </row>
    <row r="75" spans="2:6" x14ac:dyDescent="0.3">
      <c r="B75" s="290" t="s">
        <v>467</v>
      </c>
      <c r="C75" s="293">
        <v>892</v>
      </c>
      <c r="D75" s="291">
        <v>4460</v>
      </c>
      <c r="E75" s="291">
        <v>2230</v>
      </c>
      <c r="F75" s="290" t="s">
        <v>474</v>
      </c>
    </row>
    <row r="76" spans="2:6" x14ac:dyDescent="0.3">
      <c r="B76" s="290" t="s">
        <v>467</v>
      </c>
      <c r="C76" s="293">
        <v>625</v>
      </c>
      <c r="D76" s="291">
        <v>3125</v>
      </c>
      <c r="E76" s="291">
        <v>1562.5</v>
      </c>
      <c r="F76" s="290" t="s">
        <v>474</v>
      </c>
    </row>
    <row r="77" spans="2:6" x14ac:dyDescent="0.3">
      <c r="B77" s="290" t="s">
        <v>469</v>
      </c>
      <c r="C77" s="293">
        <v>437</v>
      </c>
      <c r="D77" s="291">
        <v>2185</v>
      </c>
      <c r="E77" s="291">
        <v>1092.5</v>
      </c>
      <c r="F77" s="290" t="s">
        <v>474</v>
      </c>
    </row>
    <row r="78" spans="2:6" x14ac:dyDescent="0.3">
      <c r="B78" s="290" t="s">
        <v>468</v>
      </c>
      <c r="C78" s="293">
        <v>117</v>
      </c>
      <c r="D78" s="291">
        <v>585</v>
      </c>
      <c r="E78" s="291">
        <v>292.5</v>
      </c>
      <c r="F78" s="290" t="s">
        <v>474</v>
      </c>
    </row>
    <row r="79" spans="2:6" x14ac:dyDescent="0.3">
      <c r="B79" s="290" t="s">
        <v>470</v>
      </c>
      <c r="C79" s="293">
        <v>856</v>
      </c>
      <c r="D79" s="291">
        <v>4280</v>
      </c>
      <c r="E79" s="291">
        <v>2140</v>
      </c>
      <c r="F79" s="290" t="s">
        <v>474</v>
      </c>
    </row>
    <row r="80" spans="2:6" x14ac:dyDescent="0.3">
      <c r="B80" s="290" t="s">
        <v>469</v>
      </c>
      <c r="C80" s="293"/>
      <c r="D80" s="291">
        <v>4440</v>
      </c>
      <c r="E80" s="291">
        <v>2220</v>
      </c>
      <c r="F80" s="290" t="s">
        <v>474</v>
      </c>
    </row>
    <row r="81" spans="2:6" x14ac:dyDescent="0.3">
      <c r="B81" s="290" t="s">
        <v>467</v>
      </c>
      <c r="C81" s="293">
        <v>914</v>
      </c>
      <c r="D81" s="291">
        <v>4570</v>
      </c>
      <c r="E81" s="291">
        <v>2285</v>
      </c>
      <c r="F81" s="290" t="s">
        <v>474</v>
      </c>
    </row>
    <row r="82" spans="2:6" x14ac:dyDescent="0.3">
      <c r="B82" s="290" t="s">
        <v>470</v>
      </c>
      <c r="C82" s="293">
        <v>275</v>
      </c>
      <c r="D82" s="291">
        <v>1375</v>
      </c>
      <c r="E82" s="291">
        <v>687.5</v>
      </c>
      <c r="F82" s="290" t="s">
        <v>474</v>
      </c>
    </row>
    <row r="83" spans="2:6" x14ac:dyDescent="0.3">
      <c r="B83" s="290" t="s">
        <v>470</v>
      </c>
      <c r="C83" s="293">
        <v>669</v>
      </c>
      <c r="D83" s="291">
        <v>3345</v>
      </c>
      <c r="E83" s="291">
        <v>1672.5</v>
      </c>
      <c r="F83" s="290" t="s">
        <v>474</v>
      </c>
    </row>
    <row r="84" spans="2:6" x14ac:dyDescent="0.3">
      <c r="B84" s="290" t="s">
        <v>470</v>
      </c>
      <c r="C84" s="293">
        <v>344</v>
      </c>
      <c r="D84" s="291">
        <v>1720</v>
      </c>
      <c r="E84" s="291">
        <v>860</v>
      </c>
      <c r="F84" s="290" t="s">
        <v>474</v>
      </c>
    </row>
    <row r="85" spans="2:6" x14ac:dyDescent="0.3">
      <c r="B85" s="290" t="s">
        <v>470</v>
      </c>
      <c r="C85" s="293">
        <v>389</v>
      </c>
      <c r="D85" s="291">
        <v>1945</v>
      </c>
      <c r="E85" s="291">
        <v>972.5</v>
      </c>
      <c r="F85" s="290" t="s">
        <v>474</v>
      </c>
    </row>
    <row r="86" spans="2:6" x14ac:dyDescent="0.3">
      <c r="B86" s="290" t="s">
        <v>471</v>
      </c>
      <c r="C86" s="293"/>
      <c r="D86" s="291">
        <v>3150</v>
      </c>
      <c r="E86" s="291">
        <v>1575</v>
      </c>
      <c r="F86" s="290" t="s">
        <v>474</v>
      </c>
    </row>
    <row r="87" spans="2:6" x14ac:dyDescent="0.3">
      <c r="B87" s="290" t="s">
        <v>467</v>
      </c>
      <c r="C87" s="293">
        <v>344</v>
      </c>
      <c r="D87" s="291">
        <v>1720</v>
      </c>
      <c r="E87" s="291">
        <v>860</v>
      </c>
      <c r="F87" s="290" t="s">
        <v>474</v>
      </c>
    </row>
    <row r="88" spans="2:6" x14ac:dyDescent="0.3">
      <c r="B88" s="290" t="s">
        <v>470</v>
      </c>
      <c r="C88" s="293">
        <v>941</v>
      </c>
      <c r="D88" s="291">
        <v>4705</v>
      </c>
      <c r="E88" s="291">
        <v>2352.5</v>
      </c>
      <c r="F88" s="290" t="s">
        <v>474</v>
      </c>
    </row>
    <row r="89" spans="2:6" x14ac:dyDescent="0.3">
      <c r="B89" s="290" t="s">
        <v>470</v>
      </c>
      <c r="C89" s="293">
        <v>287</v>
      </c>
      <c r="D89" s="291">
        <v>1435</v>
      </c>
      <c r="E89" s="291">
        <v>717.5</v>
      </c>
      <c r="F89" s="290" t="s">
        <v>474</v>
      </c>
    </row>
    <row r="90" spans="2:6" x14ac:dyDescent="0.3">
      <c r="B90" s="290" t="s">
        <v>472</v>
      </c>
      <c r="C90" s="293">
        <v>994</v>
      </c>
      <c r="D90" s="291">
        <v>4970</v>
      </c>
      <c r="E90" s="291">
        <v>2485</v>
      </c>
      <c r="F90" s="290" t="s">
        <v>474</v>
      </c>
    </row>
    <row r="91" spans="2:6" x14ac:dyDescent="0.3">
      <c r="B91" s="290" t="s">
        <v>467</v>
      </c>
      <c r="C91" s="293">
        <v>598</v>
      </c>
      <c r="D91" s="291">
        <v>2990</v>
      </c>
      <c r="E91" s="291">
        <v>1495</v>
      </c>
      <c r="F91" s="290" t="s">
        <v>474</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A0657-2248-41C0-8A62-E8DC6BC02BA3}">
  <dimension ref="A1:F83"/>
  <sheetViews>
    <sheetView workbookViewId="0">
      <selection activeCell="C19" sqref="C19"/>
    </sheetView>
  </sheetViews>
  <sheetFormatPr defaultRowHeight="14.4" x14ac:dyDescent="0.3"/>
  <cols>
    <col min="1" max="1" width="7.88671875" bestFit="1" customWidth="1"/>
    <col min="2" max="2" width="15.5546875" bestFit="1" customWidth="1"/>
    <col min="3" max="3" width="18.44140625" bestFit="1" customWidth="1"/>
    <col min="4" max="4" width="20.6640625" bestFit="1" customWidth="1"/>
    <col min="5" max="5" width="16" bestFit="1" customWidth="1"/>
    <col min="6" max="6" width="13.77734375" bestFit="1" customWidth="1"/>
  </cols>
  <sheetData>
    <row r="1" spans="1:6" x14ac:dyDescent="0.3">
      <c r="A1" t="s">
        <v>307</v>
      </c>
      <c r="B1" t="s">
        <v>475</v>
      </c>
      <c r="C1" t="s">
        <v>476</v>
      </c>
      <c r="D1" t="s">
        <v>473</v>
      </c>
      <c r="E1" t="s">
        <v>477</v>
      </c>
      <c r="F1" t="s">
        <v>465</v>
      </c>
    </row>
    <row r="2" spans="1:6" x14ac:dyDescent="0.3">
      <c r="A2">
        <v>1</v>
      </c>
      <c r="B2">
        <v>985245</v>
      </c>
      <c r="C2" t="s">
        <v>478</v>
      </c>
      <c r="D2">
        <v>58</v>
      </c>
      <c r="E2">
        <v>290</v>
      </c>
      <c r="F2" t="s">
        <v>483</v>
      </c>
    </row>
    <row r="3" spans="1:6" x14ac:dyDescent="0.3">
      <c r="A3">
        <v>2</v>
      </c>
      <c r="B3">
        <v>452584</v>
      </c>
      <c r="C3" t="s">
        <v>479</v>
      </c>
      <c r="D3">
        <v>73</v>
      </c>
      <c r="E3">
        <v>365</v>
      </c>
      <c r="F3" t="s">
        <v>483</v>
      </c>
    </row>
    <row r="4" spans="1:6" x14ac:dyDescent="0.3">
      <c r="A4">
        <v>3</v>
      </c>
      <c r="B4">
        <v>985245</v>
      </c>
      <c r="C4" t="s">
        <v>478</v>
      </c>
      <c r="D4">
        <v>77</v>
      </c>
      <c r="E4">
        <v>385</v>
      </c>
      <c r="F4" t="s">
        <v>483</v>
      </c>
    </row>
    <row r="5" spans="1:6" x14ac:dyDescent="0.3">
      <c r="A5">
        <v>4</v>
      </c>
      <c r="B5">
        <v>985245</v>
      </c>
      <c r="C5" t="s">
        <v>478</v>
      </c>
      <c r="D5">
        <v>77</v>
      </c>
      <c r="E5">
        <v>385</v>
      </c>
      <c r="F5" t="s">
        <v>483</v>
      </c>
    </row>
    <row r="6" spans="1:6" x14ac:dyDescent="0.3">
      <c r="A6">
        <v>5</v>
      </c>
      <c r="B6">
        <v>152689</v>
      </c>
      <c r="C6" t="s">
        <v>480</v>
      </c>
      <c r="D6">
        <v>82</v>
      </c>
      <c r="E6">
        <v>410</v>
      </c>
      <c r="F6" t="s">
        <v>483</v>
      </c>
    </row>
    <row r="7" spans="1:6" x14ac:dyDescent="0.3">
      <c r="A7">
        <v>6</v>
      </c>
      <c r="B7">
        <v>152689</v>
      </c>
      <c r="C7" t="s">
        <v>480</v>
      </c>
      <c r="D7">
        <v>99</v>
      </c>
      <c r="E7">
        <v>495</v>
      </c>
      <c r="F7" t="s">
        <v>466</v>
      </c>
    </row>
    <row r="8" spans="1:6" x14ac:dyDescent="0.3">
      <c r="A8">
        <v>7</v>
      </c>
      <c r="B8">
        <v>152689</v>
      </c>
      <c r="C8" t="s">
        <v>480</v>
      </c>
      <c r="D8">
        <v>133</v>
      </c>
      <c r="E8">
        <v>665</v>
      </c>
      <c r="F8" t="s">
        <v>483</v>
      </c>
    </row>
    <row r="9" spans="1:6" x14ac:dyDescent="0.3">
      <c r="A9">
        <v>8</v>
      </c>
      <c r="B9">
        <v>985245</v>
      </c>
      <c r="C9" t="s">
        <v>478</v>
      </c>
      <c r="D9">
        <v>154</v>
      </c>
      <c r="E9">
        <v>770</v>
      </c>
      <c r="F9" t="s">
        <v>483</v>
      </c>
    </row>
    <row r="10" spans="1:6" x14ac:dyDescent="0.3">
      <c r="A10">
        <v>9</v>
      </c>
      <c r="B10">
        <v>985245</v>
      </c>
      <c r="C10" t="s">
        <v>478</v>
      </c>
      <c r="D10">
        <v>154</v>
      </c>
      <c r="E10">
        <v>770</v>
      </c>
      <c r="F10" t="s">
        <v>466</v>
      </c>
    </row>
    <row r="11" spans="1:6" x14ac:dyDescent="0.3">
      <c r="A11">
        <v>10</v>
      </c>
      <c r="B11">
        <v>985245</v>
      </c>
      <c r="C11" t="s">
        <v>478</v>
      </c>
      <c r="D11">
        <v>154</v>
      </c>
      <c r="E11">
        <v>770</v>
      </c>
      <c r="F11" t="s">
        <v>483</v>
      </c>
    </row>
    <row r="12" spans="1:6" x14ac:dyDescent="0.3">
      <c r="A12">
        <v>11</v>
      </c>
      <c r="B12">
        <v>985245</v>
      </c>
      <c r="C12" t="s">
        <v>478</v>
      </c>
      <c r="D12">
        <v>162</v>
      </c>
      <c r="E12">
        <v>810</v>
      </c>
      <c r="F12" t="s">
        <v>483</v>
      </c>
    </row>
    <row r="13" spans="1:6" x14ac:dyDescent="0.3">
      <c r="A13">
        <v>12</v>
      </c>
      <c r="B13">
        <v>785432</v>
      </c>
      <c r="C13" t="s">
        <v>481</v>
      </c>
      <c r="D13">
        <v>198</v>
      </c>
      <c r="E13">
        <v>990</v>
      </c>
      <c r="F13" t="s">
        <v>483</v>
      </c>
    </row>
    <row r="14" spans="1:6" x14ac:dyDescent="0.3">
      <c r="A14">
        <v>13</v>
      </c>
      <c r="B14">
        <v>152689</v>
      </c>
      <c r="C14" t="s">
        <v>480</v>
      </c>
      <c r="D14">
        <v>203</v>
      </c>
      <c r="E14">
        <v>1015</v>
      </c>
      <c r="F14" t="s">
        <v>483</v>
      </c>
    </row>
    <row r="15" spans="1:6" x14ac:dyDescent="0.3">
      <c r="A15">
        <v>14</v>
      </c>
      <c r="B15">
        <v>985245</v>
      </c>
      <c r="C15" t="s">
        <v>478</v>
      </c>
      <c r="D15">
        <v>205</v>
      </c>
      <c r="E15">
        <v>1025</v>
      </c>
      <c r="F15" t="s">
        <v>483</v>
      </c>
    </row>
    <row r="16" spans="1:6" x14ac:dyDescent="0.3">
      <c r="A16">
        <v>15</v>
      </c>
      <c r="B16">
        <v>452584</v>
      </c>
      <c r="C16" t="s">
        <v>479</v>
      </c>
      <c r="D16">
        <v>211</v>
      </c>
      <c r="E16">
        <v>1055</v>
      </c>
      <c r="F16" t="s">
        <v>483</v>
      </c>
    </row>
    <row r="17" spans="1:6" x14ac:dyDescent="0.3">
      <c r="A17">
        <v>16</v>
      </c>
      <c r="B17">
        <v>985245</v>
      </c>
      <c r="C17" t="s">
        <v>478</v>
      </c>
      <c r="D17">
        <v>223</v>
      </c>
      <c r="E17">
        <v>1115</v>
      </c>
      <c r="F17" t="s">
        <v>483</v>
      </c>
    </row>
    <row r="18" spans="1:6" x14ac:dyDescent="0.3">
      <c r="A18">
        <v>17</v>
      </c>
      <c r="B18">
        <v>985245</v>
      </c>
      <c r="C18" t="s">
        <v>478</v>
      </c>
      <c r="D18">
        <v>230</v>
      </c>
      <c r="E18">
        <v>1150</v>
      </c>
      <c r="F18" t="s">
        <v>483</v>
      </c>
    </row>
    <row r="19" spans="1:6" x14ac:dyDescent="0.3">
      <c r="A19">
        <v>18</v>
      </c>
      <c r="B19">
        <v>152689</v>
      </c>
      <c r="C19" t="s">
        <v>480</v>
      </c>
      <c r="D19">
        <v>236</v>
      </c>
      <c r="E19">
        <v>1180</v>
      </c>
      <c r="F19" t="s">
        <v>483</v>
      </c>
    </row>
    <row r="20" spans="1:6" x14ac:dyDescent="0.3">
      <c r="A20">
        <v>20</v>
      </c>
      <c r="B20">
        <v>985245</v>
      </c>
      <c r="C20" t="s">
        <v>478</v>
      </c>
      <c r="D20">
        <v>275</v>
      </c>
      <c r="E20">
        <v>1375</v>
      </c>
      <c r="F20" t="s">
        <v>483</v>
      </c>
    </row>
    <row r="21" spans="1:6" x14ac:dyDescent="0.3">
      <c r="A21">
        <v>21</v>
      </c>
      <c r="B21">
        <v>985245</v>
      </c>
      <c r="C21" t="s">
        <v>478</v>
      </c>
      <c r="D21">
        <v>287</v>
      </c>
      <c r="E21">
        <v>1435</v>
      </c>
      <c r="F21" t="s">
        <v>483</v>
      </c>
    </row>
    <row r="22" spans="1:6" x14ac:dyDescent="0.3">
      <c r="A22">
        <v>22</v>
      </c>
      <c r="B22">
        <v>325698</v>
      </c>
      <c r="C22" t="s">
        <v>482</v>
      </c>
      <c r="D22">
        <v>300</v>
      </c>
      <c r="E22">
        <v>1500</v>
      </c>
      <c r="F22" t="s">
        <v>483</v>
      </c>
    </row>
    <row r="23" spans="1:6" x14ac:dyDescent="0.3">
      <c r="A23">
        <v>23</v>
      </c>
      <c r="B23">
        <v>152689</v>
      </c>
      <c r="C23" t="s">
        <v>480</v>
      </c>
      <c r="D23">
        <v>313</v>
      </c>
      <c r="E23">
        <v>1565</v>
      </c>
      <c r="F23" t="s">
        <v>483</v>
      </c>
    </row>
    <row r="24" spans="1:6" x14ac:dyDescent="0.3">
      <c r="A24">
        <v>25</v>
      </c>
      <c r="B24">
        <v>152689</v>
      </c>
      <c r="C24" t="s">
        <v>480</v>
      </c>
      <c r="D24">
        <v>329</v>
      </c>
      <c r="E24">
        <v>1645</v>
      </c>
      <c r="F24" t="s">
        <v>466</v>
      </c>
    </row>
    <row r="25" spans="1:6" x14ac:dyDescent="0.3">
      <c r="A25">
        <v>26</v>
      </c>
      <c r="B25">
        <v>325698</v>
      </c>
      <c r="C25" t="s">
        <v>482</v>
      </c>
      <c r="D25">
        <v>344</v>
      </c>
      <c r="E25">
        <v>1720</v>
      </c>
      <c r="F25" t="s">
        <v>483</v>
      </c>
    </row>
    <row r="26" spans="1:6" x14ac:dyDescent="0.3">
      <c r="A26">
        <v>27</v>
      </c>
      <c r="B26">
        <v>785432</v>
      </c>
      <c r="C26" t="s">
        <v>481</v>
      </c>
      <c r="D26">
        <v>344</v>
      </c>
      <c r="E26">
        <v>1720</v>
      </c>
      <c r="F26" t="s">
        <v>483</v>
      </c>
    </row>
    <row r="27" spans="1:6" x14ac:dyDescent="0.3">
      <c r="A27">
        <v>28</v>
      </c>
      <c r="B27">
        <v>985245</v>
      </c>
      <c r="C27" t="s">
        <v>478</v>
      </c>
      <c r="D27">
        <v>344</v>
      </c>
      <c r="E27">
        <v>1720</v>
      </c>
      <c r="F27" t="s">
        <v>483</v>
      </c>
    </row>
    <row r="28" spans="1:6" x14ac:dyDescent="0.3">
      <c r="A28">
        <v>29</v>
      </c>
      <c r="B28">
        <v>325698</v>
      </c>
      <c r="C28" t="s">
        <v>482</v>
      </c>
      <c r="D28">
        <v>346</v>
      </c>
      <c r="E28">
        <v>1730</v>
      </c>
      <c r="F28" t="s">
        <v>483</v>
      </c>
    </row>
    <row r="29" spans="1:6" x14ac:dyDescent="0.3">
      <c r="A29">
        <v>30</v>
      </c>
      <c r="B29">
        <v>985245</v>
      </c>
      <c r="C29" t="s">
        <v>478</v>
      </c>
      <c r="D29">
        <v>350</v>
      </c>
      <c r="E29">
        <v>1750</v>
      </c>
      <c r="F29" t="s">
        <v>466</v>
      </c>
    </row>
    <row r="30" spans="1:6" x14ac:dyDescent="0.3">
      <c r="A30">
        <v>31</v>
      </c>
      <c r="B30">
        <v>785432</v>
      </c>
      <c r="C30" t="s">
        <v>481</v>
      </c>
      <c r="D30">
        <v>373</v>
      </c>
      <c r="E30">
        <v>1865</v>
      </c>
      <c r="F30" t="s">
        <v>483</v>
      </c>
    </row>
    <row r="31" spans="1:6" x14ac:dyDescent="0.3">
      <c r="A31">
        <v>32</v>
      </c>
      <c r="B31">
        <v>785432</v>
      </c>
      <c r="C31" t="s">
        <v>481</v>
      </c>
      <c r="D31">
        <v>381</v>
      </c>
      <c r="E31">
        <v>1905</v>
      </c>
      <c r="F31" t="s">
        <v>483</v>
      </c>
    </row>
    <row r="32" spans="1:6" x14ac:dyDescent="0.3">
      <c r="A32">
        <v>33</v>
      </c>
      <c r="B32">
        <v>325698</v>
      </c>
      <c r="C32" t="s">
        <v>482</v>
      </c>
      <c r="D32">
        <v>383</v>
      </c>
      <c r="E32">
        <v>1915</v>
      </c>
      <c r="F32" t="s">
        <v>466</v>
      </c>
    </row>
    <row r="33" spans="1:6" x14ac:dyDescent="0.3">
      <c r="A33">
        <v>34</v>
      </c>
      <c r="B33">
        <v>452584</v>
      </c>
      <c r="C33" t="s">
        <v>479</v>
      </c>
      <c r="D33">
        <v>385</v>
      </c>
      <c r="E33">
        <v>1925</v>
      </c>
      <c r="F33" t="s">
        <v>483</v>
      </c>
    </row>
    <row r="34" spans="1:6" x14ac:dyDescent="0.3">
      <c r="A34">
        <v>35</v>
      </c>
      <c r="B34">
        <v>985245</v>
      </c>
      <c r="C34" t="s">
        <v>478</v>
      </c>
      <c r="D34">
        <v>389</v>
      </c>
      <c r="E34">
        <v>1945</v>
      </c>
      <c r="F34" t="s">
        <v>483</v>
      </c>
    </row>
    <row r="35" spans="1:6" x14ac:dyDescent="0.3">
      <c r="A35">
        <v>36</v>
      </c>
      <c r="B35">
        <v>452584</v>
      </c>
      <c r="C35" t="s">
        <v>479</v>
      </c>
      <c r="D35">
        <v>415</v>
      </c>
      <c r="E35">
        <v>2075</v>
      </c>
      <c r="F35" t="s">
        <v>483</v>
      </c>
    </row>
    <row r="36" spans="1:6" x14ac:dyDescent="0.3">
      <c r="A36">
        <v>37</v>
      </c>
      <c r="B36">
        <v>152689</v>
      </c>
      <c r="C36" t="s">
        <v>480</v>
      </c>
      <c r="D36">
        <v>437</v>
      </c>
      <c r="E36">
        <v>2185</v>
      </c>
      <c r="F36" t="s">
        <v>483</v>
      </c>
    </row>
    <row r="37" spans="1:6" x14ac:dyDescent="0.3">
      <c r="A37">
        <v>38</v>
      </c>
      <c r="B37">
        <v>785432</v>
      </c>
      <c r="C37" t="s">
        <v>481</v>
      </c>
      <c r="D37">
        <v>467</v>
      </c>
      <c r="E37">
        <v>2335</v>
      </c>
      <c r="F37" t="s">
        <v>483</v>
      </c>
    </row>
    <row r="38" spans="1:6" x14ac:dyDescent="0.3">
      <c r="A38">
        <v>39</v>
      </c>
      <c r="B38">
        <v>985245</v>
      </c>
      <c r="C38" t="s">
        <v>478</v>
      </c>
      <c r="D38">
        <v>469</v>
      </c>
      <c r="E38">
        <v>2345</v>
      </c>
      <c r="F38" t="s">
        <v>483</v>
      </c>
    </row>
    <row r="39" spans="1:6" x14ac:dyDescent="0.3">
      <c r="A39">
        <v>40</v>
      </c>
      <c r="B39">
        <v>152689</v>
      </c>
      <c r="C39" t="s">
        <v>480</v>
      </c>
      <c r="D39">
        <v>500</v>
      </c>
      <c r="E39">
        <v>2500</v>
      </c>
      <c r="F39" t="s">
        <v>483</v>
      </c>
    </row>
    <row r="40" spans="1:6" x14ac:dyDescent="0.3">
      <c r="A40">
        <v>41</v>
      </c>
      <c r="B40">
        <v>785432</v>
      </c>
      <c r="C40" t="s">
        <v>481</v>
      </c>
      <c r="D40">
        <v>509</v>
      </c>
      <c r="E40">
        <v>2545</v>
      </c>
      <c r="F40" t="s">
        <v>483</v>
      </c>
    </row>
    <row r="41" spans="1:6" x14ac:dyDescent="0.3">
      <c r="A41">
        <v>42</v>
      </c>
      <c r="B41">
        <v>325698</v>
      </c>
      <c r="C41" t="s">
        <v>482</v>
      </c>
      <c r="D41">
        <v>511</v>
      </c>
      <c r="E41">
        <v>2555</v>
      </c>
      <c r="F41" t="s">
        <v>483</v>
      </c>
    </row>
    <row r="42" spans="1:6" x14ac:dyDescent="0.3">
      <c r="A42">
        <v>43</v>
      </c>
      <c r="B42">
        <v>452584</v>
      </c>
      <c r="C42" t="s">
        <v>479</v>
      </c>
      <c r="D42">
        <v>530</v>
      </c>
      <c r="E42">
        <v>2650</v>
      </c>
      <c r="F42" t="s">
        <v>483</v>
      </c>
    </row>
    <row r="43" spans="1:6" x14ac:dyDescent="0.3">
      <c r="A43">
        <v>44</v>
      </c>
      <c r="B43">
        <v>325698</v>
      </c>
      <c r="C43" t="s">
        <v>482</v>
      </c>
      <c r="D43">
        <v>541</v>
      </c>
      <c r="E43">
        <v>2705</v>
      </c>
      <c r="F43" t="s">
        <v>483</v>
      </c>
    </row>
    <row r="44" spans="1:6" x14ac:dyDescent="0.3">
      <c r="A44">
        <v>45</v>
      </c>
      <c r="B44">
        <v>985245</v>
      </c>
      <c r="C44" t="s">
        <v>478</v>
      </c>
      <c r="D44">
        <v>549</v>
      </c>
      <c r="E44">
        <v>2745</v>
      </c>
      <c r="F44" t="s">
        <v>483</v>
      </c>
    </row>
    <row r="45" spans="1:6" x14ac:dyDescent="0.3">
      <c r="A45">
        <v>46</v>
      </c>
      <c r="B45">
        <v>785432</v>
      </c>
      <c r="C45" t="s">
        <v>481</v>
      </c>
      <c r="D45">
        <v>572</v>
      </c>
      <c r="E45">
        <v>2860</v>
      </c>
      <c r="F45" t="s">
        <v>483</v>
      </c>
    </row>
    <row r="46" spans="1:6" x14ac:dyDescent="0.3">
      <c r="A46">
        <v>47</v>
      </c>
      <c r="B46">
        <v>325698</v>
      </c>
      <c r="C46" t="s">
        <v>482</v>
      </c>
      <c r="D46">
        <v>587</v>
      </c>
      <c r="E46">
        <v>2935</v>
      </c>
      <c r="F46" t="s">
        <v>483</v>
      </c>
    </row>
    <row r="47" spans="1:6" x14ac:dyDescent="0.3">
      <c r="A47">
        <v>48</v>
      </c>
      <c r="B47">
        <v>325698</v>
      </c>
      <c r="C47" t="s">
        <v>482</v>
      </c>
      <c r="D47">
        <v>598</v>
      </c>
      <c r="E47">
        <v>2990</v>
      </c>
      <c r="F47" t="s">
        <v>483</v>
      </c>
    </row>
    <row r="48" spans="1:6" x14ac:dyDescent="0.3">
      <c r="A48">
        <v>49</v>
      </c>
      <c r="B48">
        <v>325698</v>
      </c>
      <c r="C48" t="s">
        <v>482</v>
      </c>
      <c r="D48">
        <v>614</v>
      </c>
      <c r="E48">
        <v>3070</v>
      </c>
      <c r="F48" t="s">
        <v>483</v>
      </c>
    </row>
    <row r="49" spans="1:6" x14ac:dyDescent="0.3">
      <c r="A49">
        <v>50</v>
      </c>
      <c r="B49">
        <v>325698</v>
      </c>
      <c r="C49" t="s">
        <v>482</v>
      </c>
      <c r="D49">
        <v>625</v>
      </c>
      <c r="E49">
        <v>3125</v>
      </c>
      <c r="F49" t="s">
        <v>483</v>
      </c>
    </row>
    <row r="50" spans="1:6" x14ac:dyDescent="0.3">
      <c r="A50">
        <v>52</v>
      </c>
      <c r="B50">
        <v>985245</v>
      </c>
      <c r="C50" t="s">
        <v>478</v>
      </c>
      <c r="D50">
        <v>648</v>
      </c>
      <c r="E50">
        <v>3240</v>
      </c>
      <c r="F50" t="s">
        <v>483</v>
      </c>
    </row>
    <row r="51" spans="1:6" x14ac:dyDescent="0.3">
      <c r="A51">
        <v>53</v>
      </c>
      <c r="B51">
        <v>985245</v>
      </c>
      <c r="C51" t="s">
        <v>478</v>
      </c>
      <c r="D51">
        <v>669</v>
      </c>
      <c r="E51">
        <v>3345</v>
      </c>
      <c r="F51" t="s">
        <v>483</v>
      </c>
    </row>
    <row r="52" spans="1:6" x14ac:dyDescent="0.3">
      <c r="A52">
        <v>54</v>
      </c>
      <c r="B52">
        <v>785432</v>
      </c>
      <c r="C52" t="s">
        <v>481</v>
      </c>
      <c r="D52">
        <v>679</v>
      </c>
      <c r="E52">
        <v>3395</v>
      </c>
      <c r="F52" t="s">
        <v>466</v>
      </c>
    </row>
    <row r="53" spans="1:6" x14ac:dyDescent="0.3">
      <c r="A53">
        <v>55</v>
      </c>
      <c r="B53">
        <v>152689</v>
      </c>
      <c r="C53" t="s">
        <v>480</v>
      </c>
      <c r="D53">
        <v>680</v>
      </c>
      <c r="E53">
        <v>3400</v>
      </c>
      <c r="F53" t="s">
        <v>466</v>
      </c>
    </row>
    <row r="54" spans="1:6" x14ac:dyDescent="0.3">
      <c r="A54">
        <v>57</v>
      </c>
      <c r="B54">
        <v>785432</v>
      </c>
      <c r="C54" t="s">
        <v>481</v>
      </c>
      <c r="D54">
        <v>703</v>
      </c>
      <c r="E54">
        <v>3515</v>
      </c>
      <c r="F54" t="s">
        <v>483</v>
      </c>
    </row>
    <row r="55" spans="1:6" x14ac:dyDescent="0.3">
      <c r="A55">
        <v>58</v>
      </c>
      <c r="B55">
        <v>985245</v>
      </c>
      <c r="C55" t="s">
        <v>478</v>
      </c>
      <c r="D55">
        <v>727</v>
      </c>
      <c r="E55">
        <v>3635</v>
      </c>
      <c r="F55" t="s">
        <v>483</v>
      </c>
    </row>
    <row r="56" spans="1:6" x14ac:dyDescent="0.3">
      <c r="A56">
        <v>59</v>
      </c>
      <c r="B56">
        <v>325698</v>
      </c>
      <c r="C56" t="s">
        <v>482</v>
      </c>
      <c r="D56">
        <v>733</v>
      </c>
      <c r="E56">
        <v>3665</v>
      </c>
      <c r="F56" t="s">
        <v>483</v>
      </c>
    </row>
    <row r="57" spans="1:6" x14ac:dyDescent="0.3">
      <c r="A57">
        <v>60</v>
      </c>
      <c r="B57">
        <v>985245</v>
      </c>
      <c r="C57" t="s">
        <v>478</v>
      </c>
      <c r="D57">
        <v>736</v>
      </c>
      <c r="E57">
        <v>3680</v>
      </c>
      <c r="F57" t="s">
        <v>483</v>
      </c>
    </row>
    <row r="58" spans="1:6" x14ac:dyDescent="0.3">
      <c r="A58">
        <v>61</v>
      </c>
      <c r="B58">
        <v>152689</v>
      </c>
      <c r="C58" t="s">
        <v>480</v>
      </c>
      <c r="D58">
        <v>745</v>
      </c>
      <c r="E58">
        <v>3725</v>
      </c>
      <c r="F58" t="s">
        <v>483</v>
      </c>
    </row>
    <row r="59" spans="1:6" x14ac:dyDescent="0.3">
      <c r="A59">
        <v>62</v>
      </c>
      <c r="B59">
        <v>325698</v>
      </c>
      <c r="C59" t="s">
        <v>482</v>
      </c>
      <c r="D59">
        <v>747</v>
      </c>
      <c r="E59">
        <v>3735</v>
      </c>
      <c r="F59" t="s">
        <v>466</v>
      </c>
    </row>
    <row r="60" spans="1:6" x14ac:dyDescent="0.3">
      <c r="A60">
        <v>63</v>
      </c>
      <c r="B60">
        <v>785432</v>
      </c>
      <c r="C60" t="s">
        <v>481</v>
      </c>
      <c r="D60">
        <v>784</v>
      </c>
      <c r="E60">
        <v>3920</v>
      </c>
      <c r="F60" t="s">
        <v>483</v>
      </c>
    </row>
    <row r="61" spans="1:6" x14ac:dyDescent="0.3">
      <c r="A61">
        <v>64</v>
      </c>
      <c r="B61">
        <v>985245</v>
      </c>
      <c r="C61" t="s">
        <v>478</v>
      </c>
      <c r="D61">
        <v>792</v>
      </c>
      <c r="E61">
        <v>3960</v>
      </c>
      <c r="F61" t="s">
        <v>483</v>
      </c>
    </row>
    <row r="62" spans="1:6" x14ac:dyDescent="0.3">
      <c r="A62">
        <v>65</v>
      </c>
      <c r="B62">
        <v>785432</v>
      </c>
      <c r="C62" t="s">
        <v>481</v>
      </c>
      <c r="D62">
        <v>798</v>
      </c>
      <c r="E62">
        <v>3990</v>
      </c>
      <c r="F62" t="s">
        <v>466</v>
      </c>
    </row>
    <row r="63" spans="1:6" x14ac:dyDescent="0.3">
      <c r="A63">
        <v>66</v>
      </c>
      <c r="B63">
        <v>152689</v>
      </c>
      <c r="C63" t="s">
        <v>480</v>
      </c>
      <c r="D63">
        <v>799</v>
      </c>
      <c r="E63">
        <v>3995</v>
      </c>
      <c r="F63" t="s">
        <v>483</v>
      </c>
    </row>
    <row r="64" spans="1:6" x14ac:dyDescent="0.3">
      <c r="A64">
        <v>67</v>
      </c>
      <c r="B64">
        <v>985245</v>
      </c>
      <c r="C64" t="s">
        <v>478</v>
      </c>
      <c r="D64">
        <v>817</v>
      </c>
      <c r="E64">
        <v>4085</v>
      </c>
      <c r="F64" t="s">
        <v>466</v>
      </c>
    </row>
    <row r="65" spans="1:6" x14ac:dyDescent="0.3">
      <c r="A65">
        <v>68</v>
      </c>
      <c r="B65">
        <v>452584</v>
      </c>
      <c r="C65" t="s">
        <v>479</v>
      </c>
      <c r="D65">
        <v>819</v>
      </c>
      <c r="E65">
        <v>4095</v>
      </c>
      <c r="F65" t="s">
        <v>483</v>
      </c>
    </row>
    <row r="66" spans="1:6" x14ac:dyDescent="0.3">
      <c r="A66">
        <v>69</v>
      </c>
      <c r="B66">
        <v>785432</v>
      </c>
      <c r="C66" t="s">
        <v>481</v>
      </c>
      <c r="D66">
        <v>832</v>
      </c>
      <c r="E66">
        <v>4160</v>
      </c>
      <c r="F66" t="s">
        <v>483</v>
      </c>
    </row>
    <row r="67" spans="1:6" x14ac:dyDescent="0.3">
      <c r="A67">
        <v>70</v>
      </c>
      <c r="B67">
        <v>152689</v>
      </c>
      <c r="C67" t="s">
        <v>480</v>
      </c>
      <c r="D67">
        <v>843</v>
      </c>
      <c r="E67">
        <v>4215</v>
      </c>
      <c r="F67" t="s">
        <v>466</v>
      </c>
    </row>
    <row r="68" spans="1:6" x14ac:dyDescent="0.3">
      <c r="A68">
        <v>71</v>
      </c>
      <c r="B68">
        <v>985245</v>
      </c>
      <c r="C68" t="s">
        <v>478</v>
      </c>
      <c r="D68">
        <v>854</v>
      </c>
      <c r="E68">
        <v>4270</v>
      </c>
      <c r="F68" t="s">
        <v>483</v>
      </c>
    </row>
    <row r="69" spans="1:6" x14ac:dyDescent="0.3">
      <c r="A69">
        <v>72</v>
      </c>
      <c r="B69">
        <v>985245</v>
      </c>
      <c r="C69" t="s">
        <v>478</v>
      </c>
      <c r="D69">
        <v>856</v>
      </c>
      <c r="E69">
        <v>4280</v>
      </c>
      <c r="F69" t="s">
        <v>483</v>
      </c>
    </row>
    <row r="70" spans="1:6" x14ac:dyDescent="0.3">
      <c r="A70">
        <v>73</v>
      </c>
      <c r="B70">
        <v>785432</v>
      </c>
      <c r="C70" t="s">
        <v>481</v>
      </c>
      <c r="D70">
        <v>868</v>
      </c>
      <c r="E70">
        <v>4340</v>
      </c>
      <c r="F70" t="s">
        <v>483</v>
      </c>
    </row>
    <row r="71" spans="1:6" x14ac:dyDescent="0.3">
      <c r="A71">
        <v>75</v>
      </c>
      <c r="B71">
        <v>325698</v>
      </c>
      <c r="C71" t="s">
        <v>482</v>
      </c>
      <c r="D71">
        <v>892</v>
      </c>
      <c r="E71">
        <v>4460</v>
      </c>
      <c r="F71" t="s">
        <v>483</v>
      </c>
    </row>
    <row r="72" spans="1:6" x14ac:dyDescent="0.3">
      <c r="A72">
        <v>76</v>
      </c>
      <c r="B72">
        <v>985245</v>
      </c>
      <c r="C72" t="s">
        <v>478</v>
      </c>
      <c r="D72">
        <v>906</v>
      </c>
      <c r="E72">
        <v>4530</v>
      </c>
      <c r="F72" t="s">
        <v>483</v>
      </c>
    </row>
    <row r="73" spans="1:6" x14ac:dyDescent="0.3">
      <c r="A73">
        <v>77</v>
      </c>
      <c r="B73">
        <v>152689</v>
      </c>
      <c r="C73" t="s">
        <v>480</v>
      </c>
      <c r="D73">
        <v>910</v>
      </c>
      <c r="E73">
        <v>4550</v>
      </c>
      <c r="F73" t="s">
        <v>483</v>
      </c>
    </row>
    <row r="74" spans="1:6" x14ac:dyDescent="0.3">
      <c r="A74">
        <v>78</v>
      </c>
      <c r="B74">
        <v>325698</v>
      </c>
      <c r="C74" t="s">
        <v>482</v>
      </c>
      <c r="D74">
        <v>914</v>
      </c>
      <c r="E74">
        <v>4570</v>
      </c>
      <c r="F74" t="s">
        <v>483</v>
      </c>
    </row>
    <row r="75" spans="1:6" x14ac:dyDescent="0.3">
      <c r="A75">
        <v>79</v>
      </c>
      <c r="B75">
        <v>325698</v>
      </c>
      <c r="C75" t="s">
        <v>482</v>
      </c>
      <c r="D75">
        <v>929</v>
      </c>
      <c r="E75">
        <v>4645</v>
      </c>
      <c r="F75" t="s">
        <v>483</v>
      </c>
    </row>
    <row r="76" spans="1:6" x14ac:dyDescent="0.3">
      <c r="A76">
        <v>80</v>
      </c>
      <c r="B76">
        <v>985245</v>
      </c>
      <c r="C76" t="s">
        <v>478</v>
      </c>
      <c r="D76">
        <v>941</v>
      </c>
      <c r="E76">
        <v>4705</v>
      </c>
      <c r="F76" t="s">
        <v>483</v>
      </c>
    </row>
    <row r="77" spans="1:6" x14ac:dyDescent="0.3">
      <c r="A77">
        <v>81</v>
      </c>
      <c r="B77">
        <v>152689</v>
      </c>
      <c r="C77" t="s">
        <v>480</v>
      </c>
      <c r="D77">
        <v>958</v>
      </c>
      <c r="E77">
        <v>4790</v>
      </c>
      <c r="F77" t="s">
        <v>483</v>
      </c>
    </row>
    <row r="78" spans="1:6" x14ac:dyDescent="0.3">
      <c r="A78">
        <v>82</v>
      </c>
      <c r="B78">
        <v>985245</v>
      </c>
      <c r="C78" t="s">
        <v>478</v>
      </c>
      <c r="D78">
        <v>974</v>
      </c>
      <c r="E78">
        <v>4870</v>
      </c>
      <c r="F78" t="s">
        <v>483</v>
      </c>
    </row>
    <row r="79" spans="1:6" x14ac:dyDescent="0.3">
      <c r="A79">
        <v>84</v>
      </c>
      <c r="B79">
        <v>785432</v>
      </c>
      <c r="C79" t="s">
        <v>481</v>
      </c>
      <c r="D79">
        <v>981</v>
      </c>
      <c r="E79">
        <v>4905</v>
      </c>
      <c r="F79" t="s">
        <v>466</v>
      </c>
    </row>
    <row r="80" spans="1:6" x14ac:dyDescent="0.3">
      <c r="A80">
        <v>85</v>
      </c>
      <c r="B80">
        <v>325698</v>
      </c>
      <c r="C80" t="s">
        <v>482</v>
      </c>
      <c r="D80">
        <v>983</v>
      </c>
      <c r="E80">
        <v>4915</v>
      </c>
      <c r="F80" t="s">
        <v>483</v>
      </c>
    </row>
    <row r="81" spans="1:6" x14ac:dyDescent="0.3">
      <c r="A81">
        <v>86</v>
      </c>
      <c r="B81">
        <v>785432</v>
      </c>
      <c r="C81" t="s">
        <v>481</v>
      </c>
      <c r="D81">
        <v>993</v>
      </c>
      <c r="E81">
        <v>4965</v>
      </c>
      <c r="F81" t="s">
        <v>466</v>
      </c>
    </row>
    <row r="82" spans="1:6" x14ac:dyDescent="0.3">
      <c r="A82">
        <v>87</v>
      </c>
      <c r="B82">
        <v>452584</v>
      </c>
      <c r="C82" t="s">
        <v>479</v>
      </c>
      <c r="D82">
        <v>994</v>
      </c>
      <c r="E82">
        <v>4970</v>
      </c>
      <c r="F82" t="s">
        <v>483</v>
      </c>
    </row>
    <row r="83" spans="1:6" x14ac:dyDescent="0.3">
      <c r="A83">
        <v>88</v>
      </c>
      <c r="B83">
        <v>152689</v>
      </c>
      <c r="C83" t="s">
        <v>480</v>
      </c>
      <c r="D83">
        <v>995</v>
      </c>
      <c r="E83">
        <v>4975</v>
      </c>
      <c r="F83" t="s">
        <v>483</v>
      </c>
    </row>
  </sheetData>
  <pageMargins left="0.7" right="0.7" top="0.75" bottom="0.75" header="0.3" footer="0.3"/>
  <tableParts count="1">
    <tablePart r:id="rId1"/>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8A411-2251-4ED7-ABFD-53656E3250CF}">
  <dimension ref="A1:E21"/>
  <sheetViews>
    <sheetView workbookViewId="0">
      <selection activeCell="C19" sqref="C19"/>
    </sheetView>
  </sheetViews>
  <sheetFormatPr defaultRowHeight="14.4" x14ac:dyDescent="0.3"/>
  <cols>
    <col min="1" max="1" width="10.109375" bestFit="1" customWidth="1"/>
    <col min="2" max="2" width="15.6640625" bestFit="1" customWidth="1"/>
    <col min="4" max="4" width="11.33203125" bestFit="1" customWidth="1"/>
    <col min="5" max="5" width="12.88671875" bestFit="1" customWidth="1"/>
  </cols>
  <sheetData>
    <row r="1" spans="1:5" x14ac:dyDescent="0.3">
      <c r="A1" t="s">
        <v>18</v>
      </c>
      <c r="B1" t="s">
        <v>16</v>
      </c>
      <c r="C1" t="s">
        <v>19</v>
      </c>
      <c r="D1" t="s">
        <v>308</v>
      </c>
      <c r="E1" t="s">
        <v>309</v>
      </c>
    </row>
    <row r="2" spans="1:5" x14ac:dyDescent="0.3">
      <c r="A2" s="281">
        <v>36533</v>
      </c>
      <c r="B2" t="s">
        <v>25</v>
      </c>
      <c r="C2" t="s">
        <v>20</v>
      </c>
      <c r="D2">
        <v>2000</v>
      </c>
      <c r="E2">
        <v>5000</v>
      </c>
    </row>
    <row r="3" spans="1:5" x14ac:dyDescent="0.3">
      <c r="A3" s="281">
        <v>36531</v>
      </c>
      <c r="B3" t="s">
        <v>21</v>
      </c>
      <c r="C3" t="s">
        <v>20</v>
      </c>
      <c r="D3">
        <v>4000</v>
      </c>
      <c r="E3">
        <v>6000</v>
      </c>
    </row>
    <row r="4" spans="1:5" x14ac:dyDescent="0.3">
      <c r="A4" s="281">
        <v>36542</v>
      </c>
      <c r="B4" t="s">
        <v>22</v>
      </c>
      <c r="C4" t="s">
        <v>20</v>
      </c>
      <c r="D4">
        <v>6000</v>
      </c>
      <c r="E4">
        <v>8000</v>
      </c>
    </row>
    <row r="5" spans="1:5" x14ac:dyDescent="0.3">
      <c r="A5" s="281">
        <v>36535</v>
      </c>
      <c r="B5" t="s">
        <v>22</v>
      </c>
      <c r="C5" t="s">
        <v>24</v>
      </c>
      <c r="D5">
        <v>8000</v>
      </c>
      <c r="E5">
        <v>10000</v>
      </c>
    </row>
    <row r="6" spans="1:5" x14ac:dyDescent="0.3">
      <c r="A6" s="281">
        <v>38052</v>
      </c>
      <c r="B6" t="s">
        <v>23</v>
      </c>
      <c r="C6" t="s">
        <v>20</v>
      </c>
      <c r="D6">
        <v>10000</v>
      </c>
      <c r="E6">
        <v>20000</v>
      </c>
    </row>
    <row r="7" spans="1:5" x14ac:dyDescent="0.3">
      <c r="A7" s="281">
        <v>36526</v>
      </c>
      <c r="B7" t="s">
        <v>26</v>
      </c>
      <c r="C7" t="s">
        <v>24</v>
      </c>
      <c r="D7">
        <v>14000</v>
      </c>
      <c r="E7">
        <v>18000</v>
      </c>
    </row>
    <row r="8" spans="1:5" x14ac:dyDescent="0.3">
      <c r="A8" s="281">
        <v>36528</v>
      </c>
      <c r="B8" t="s">
        <v>27</v>
      </c>
      <c r="C8" t="s">
        <v>24</v>
      </c>
      <c r="D8">
        <v>16000</v>
      </c>
      <c r="E8">
        <v>20000</v>
      </c>
    </row>
    <row r="9" spans="1:5" x14ac:dyDescent="0.3">
      <c r="A9" s="281">
        <v>38461</v>
      </c>
      <c r="B9" t="s">
        <v>27</v>
      </c>
      <c r="C9" t="s">
        <v>24</v>
      </c>
      <c r="D9">
        <v>18000</v>
      </c>
      <c r="E9">
        <v>25000</v>
      </c>
    </row>
    <row r="10" spans="1:5" x14ac:dyDescent="0.3">
      <c r="A10" s="281">
        <v>36545</v>
      </c>
      <c r="B10" t="s">
        <v>28</v>
      </c>
      <c r="C10" t="s">
        <v>24</v>
      </c>
      <c r="D10">
        <v>20000</v>
      </c>
      <c r="E10">
        <v>28000</v>
      </c>
    </row>
    <row r="11" spans="1:5" x14ac:dyDescent="0.3">
      <c r="A11" s="281">
        <v>36545</v>
      </c>
      <c r="B11" t="s">
        <v>28</v>
      </c>
      <c r="C11" t="s">
        <v>24</v>
      </c>
      <c r="D11">
        <v>20000</v>
      </c>
      <c r="E11">
        <v>40000</v>
      </c>
    </row>
    <row r="12" spans="1:5" x14ac:dyDescent="0.3">
      <c r="A12" s="281">
        <v>36538</v>
      </c>
      <c r="B12" t="s">
        <v>32</v>
      </c>
      <c r="C12" t="s">
        <v>30</v>
      </c>
      <c r="D12">
        <v>20000</v>
      </c>
      <c r="E12">
        <v>28000</v>
      </c>
    </row>
    <row r="13" spans="1:5" x14ac:dyDescent="0.3">
      <c r="A13" s="281">
        <v>36538</v>
      </c>
      <c r="B13" t="s">
        <v>32</v>
      </c>
      <c r="C13" t="s">
        <v>30</v>
      </c>
      <c r="D13">
        <v>20000</v>
      </c>
      <c r="E13">
        <v>40000</v>
      </c>
    </row>
    <row r="14" spans="1:5" x14ac:dyDescent="0.3">
      <c r="A14" s="281">
        <v>36535</v>
      </c>
      <c r="B14" t="s">
        <v>29</v>
      </c>
      <c r="C14" t="s">
        <v>24</v>
      </c>
      <c r="D14">
        <v>25000</v>
      </c>
      <c r="E14">
        <v>30000</v>
      </c>
    </row>
    <row r="15" spans="1:5" x14ac:dyDescent="0.3">
      <c r="A15" s="281">
        <v>36540</v>
      </c>
      <c r="B15" t="s">
        <v>25</v>
      </c>
      <c r="C15" t="s">
        <v>30</v>
      </c>
      <c r="D15">
        <v>28000</v>
      </c>
      <c r="E15">
        <v>30000</v>
      </c>
    </row>
    <row r="16" spans="1:5" x14ac:dyDescent="0.3">
      <c r="A16" s="281">
        <v>39126</v>
      </c>
      <c r="B16" t="s">
        <v>31</v>
      </c>
      <c r="C16" t="s">
        <v>30</v>
      </c>
      <c r="D16">
        <v>30000</v>
      </c>
      <c r="E16">
        <v>38000</v>
      </c>
    </row>
    <row r="17" spans="1:5" x14ac:dyDescent="0.3">
      <c r="A17" s="281">
        <v>36536</v>
      </c>
      <c r="B17" t="s">
        <v>26</v>
      </c>
      <c r="C17" t="s">
        <v>33</v>
      </c>
      <c r="D17">
        <v>36000</v>
      </c>
      <c r="E17">
        <v>30000</v>
      </c>
    </row>
    <row r="18" spans="1:5" x14ac:dyDescent="0.3">
      <c r="A18" s="281">
        <v>40402</v>
      </c>
      <c r="B18" t="s">
        <v>26</v>
      </c>
      <c r="C18" t="s">
        <v>33</v>
      </c>
      <c r="D18">
        <v>50000</v>
      </c>
      <c r="E18">
        <v>55000</v>
      </c>
    </row>
    <row r="19" spans="1:5" x14ac:dyDescent="0.3">
      <c r="A19" s="281">
        <v>36532</v>
      </c>
      <c r="B19" t="s">
        <v>31</v>
      </c>
      <c r="C19" t="s">
        <v>33</v>
      </c>
      <c r="D19">
        <v>38000</v>
      </c>
      <c r="E19">
        <v>42000</v>
      </c>
    </row>
    <row r="20" spans="1:5" x14ac:dyDescent="0.3">
      <c r="A20" s="281">
        <v>36547</v>
      </c>
      <c r="B20" t="s">
        <v>22</v>
      </c>
      <c r="C20" t="s">
        <v>33</v>
      </c>
      <c r="D20">
        <v>40000</v>
      </c>
      <c r="E20">
        <v>35000</v>
      </c>
    </row>
    <row r="21" spans="1:5" x14ac:dyDescent="0.3">
      <c r="A21" s="281">
        <v>36529</v>
      </c>
      <c r="B21" t="s">
        <v>28</v>
      </c>
      <c r="C21" t="s">
        <v>33</v>
      </c>
      <c r="D21">
        <v>42000</v>
      </c>
      <c r="E21">
        <v>30000</v>
      </c>
    </row>
  </sheetData>
  <pageMargins left="0.7" right="0.7" top="0.75" bottom="0.75" header="0.3" footer="0.3"/>
  <tableParts count="1">
    <tablePart r:id="rId1"/>
  </tablePart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948EA-D664-4E1B-9A16-969EF6A6F653}">
  <dimension ref="A1:B19"/>
  <sheetViews>
    <sheetView workbookViewId="0">
      <selection activeCell="C19" sqref="C19"/>
    </sheetView>
  </sheetViews>
  <sheetFormatPr defaultRowHeight="14.4" x14ac:dyDescent="0.3"/>
  <cols>
    <col min="1" max="1" width="11.33203125" bestFit="1" customWidth="1"/>
    <col min="2" max="2" width="12.88671875" bestFit="1" customWidth="1"/>
  </cols>
  <sheetData>
    <row r="1" spans="1:2" x14ac:dyDescent="0.3">
      <c r="A1" t="s">
        <v>308</v>
      </c>
      <c r="B1" t="s">
        <v>309</v>
      </c>
    </row>
    <row r="2" spans="1:2" x14ac:dyDescent="0.3">
      <c r="A2">
        <v>2000</v>
      </c>
      <c r="B2">
        <v>5000</v>
      </c>
    </row>
    <row r="3" spans="1:2" x14ac:dyDescent="0.3">
      <c r="A3">
        <v>4000</v>
      </c>
      <c r="B3">
        <v>6000</v>
      </c>
    </row>
    <row r="4" spans="1:2" x14ac:dyDescent="0.3">
      <c r="A4">
        <v>6000</v>
      </c>
      <c r="B4">
        <v>8000</v>
      </c>
    </row>
    <row r="5" spans="1:2" x14ac:dyDescent="0.3">
      <c r="A5">
        <v>8000</v>
      </c>
      <c r="B5">
        <v>10000</v>
      </c>
    </row>
    <row r="6" spans="1:2" x14ac:dyDescent="0.3">
      <c r="A6">
        <v>10000</v>
      </c>
      <c r="B6">
        <v>20000</v>
      </c>
    </row>
    <row r="7" spans="1:2" x14ac:dyDescent="0.3">
      <c r="A7">
        <v>14000</v>
      </c>
      <c r="B7">
        <v>18000</v>
      </c>
    </row>
    <row r="8" spans="1:2" x14ac:dyDescent="0.3">
      <c r="A8">
        <v>16000</v>
      </c>
      <c r="B8">
        <v>20000</v>
      </c>
    </row>
    <row r="9" spans="1:2" x14ac:dyDescent="0.3">
      <c r="A9">
        <v>18000</v>
      </c>
      <c r="B9">
        <v>25000</v>
      </c>
    </row>
    <row r="10" spans="1:2" x14ac:dyDescent="0.3">
      <c r="A10">
        <v>20000</v>
      </c>
      <c r="B10">
        <v>28000</v>
      </c>
    </row>
    <row r="11" spans="1:2" x14ac:dyDescent="0.3">
      <c r="A11">
        <v>25000</v>
      </c>
      <c r="B11">
        <v>30000</v>
      </c>
    </row>
    <row r="12" spans="1:2" x14ac:dyDescent="0.3">
      <c r="A12">
        <v>28000</v>
      </c>
      <c r="B12">
        <v>30000</v>
      </c>
    </row>
    <row r="13" spans="1:2" x14ac:dyDescent="0.3">
      <c r="A13">
        <v>30000</v>
      </c>
      <c r="B13">
        <v>38000</v>
      </c>
    </row>
    <row r="14" spans="1:2" x14ac:dyDescent="0.3">
      <c r="A14">
        <v>20000</v>
      </c>
      <c r="B14">
        <v>40000</v>
      </c>
    </row>
    <row r="15" spans="1:2" x14ac:dyDescent="0.3">
      <c r="A15">
        <v>36000</v>
      </c>
      <c r="B15">
        <v>30000</v>
      </c>
    </row>
    <row r="16" spans="1:2" x14ac:dyDescent="0.3">
      <c r="A16">
        <v>50000</v>
      </c>
      <c r="B16">
        <v>55000</v>
      </c>
    </row>
    <row r="17" spans="1:2" x14ac:dyDescent="0.3">
      <c r="A17">
        <v>38000</v>
      </c>
      <c r="B17">
        <v>42000</v>
      </c>
    </row>
    <row r="18" spans="1:2" x14ac:dyDescent="0.3">
      <c r="A18">
        <v>40000</v>
      </c>
      <c r="B18">
        <v>35000</v>
      </c>
    </row>
    <row r="19" spans="1:2" x14ac:dyDescent="0.3">
      <c r="A19">
        <v>42000</v>
      </c>
      <c r="B19">
        <v>30000</v>
      </c>
    </row>
  </sheetData>
  <pageMargins left="0.7" right="0.7" top="0.75" bottom="0.75" header="0.3" footer="0.3"/>
  <tableParts count="1">
    <tablePart r:id="rId1"/>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A7EC-146E-4286-B986-415F98CCDFF6}">
  <dimension ref="A1:D19"/>
  <sheetViews>
    <sheetView workbookViewId="0">
      <selection activeCell="C19" sqref="C19"/>
    </sheetView>
  </sheetViews>
  <sheetFormatPr defaultRowHeight="14.4" x14ac:dyDescent="0.3"/>
  <cols>
    <col min="1" max="1" width="10.109375" bestFit="1" customWidth="1"/>
    <col min="2" max="2" width="15.6640625" bestFit="1" customWidth="1"/>
    <col min="4" max="4" width="11.33203125" bestFit="1" customWidth="1"/>
  </cols>
  <sheetData>
    <row r="1" spans="1:4" x14ac:dyDescent="0.3">
      <c r="A1" t="s">
        <v>18</v>
      </c>
      <c r="B1" t="s">
        <v>16</v>
      </c>
      <c r="C1" t="s">
        <v>19</v>
      </c>
      <c r="D1" t="s">
        <v>308</v>
      </c>
    </row>
    <row r="2" spans="1:4" x14ac:dyDescent="0.3">
      <c r="A2" s="281">
        <v>36533</v>
      </c>
      <c r="B2" t="s">
        <v>25</v>
      </c>
      <c r="C2" t="s">
        <v>20</v>
      </c>
      <c r="D2">
        <v>2000</v>
      </c>
    </row>
    <row r="3" spans="1:4" x14ac:dyDescent="0.3">
      <c r="A3" s="281">
        <v>36531</v>
      </c>
      <c r="B3" t="s">
        <v>21</v>
      </c>
      <c r="C3" t="s">
        <v>20</v>
      </c>
      <c r="D3">
        <v>4000</v>
      </c>
    </row>
    <row r="4" spans="1:4" x14ac:dyDescent="0.3">
      <c r="A4" s="281">
        <v>36542</v>
      </c>
      <c r="B4" t="s">
        <v>22</v>
      </c>
      <c r="C4" t="s">
        <v>20</v>
      </c>
      <c r="D4">
        <v>6000</v>
      </c>
    </row>
    <row r="5" spans="1:4" x14ac:dyDescent="0.3">
      <c r="A5" s="281">
        <v>36535</v>
      </c>
      <c r="B5" t="s">
        <v>22</v>
      </c>
      <c r="C5" t="s">
        <v>24</v>
      </c>
      <c r="D5">
        <v>8000</v>
      </c>
    </row>
    <row r="6" spans="1:4" x14ac:dyDescent="0.3">
      <c r="A6" s="281">
        <v>38052</v>
      </c>
      <c r="B6" t="s">
        <v>23</v>
      </c>
      <c r="C6" t="s">
        <v>20</v>
      </c>
      <c r="D6">
        <v>10000</v>
      </c>
    </row>
    <row r="7" spans="1:4" x14ac:dyDescent="0.3">
      <c r="A7" s="281">
        <v>36526</v>
      </c>
      <c r="B7" t="s">
        <v>26</v>
      </c>
      <c r="C7" t="s">
        <v>24</v>
      </c>
      <c r="D7">
        <v>14000</v>
      </c>
    </row>
    <row r="8" spans="1:4" x14ac:dyDescent="0.3">
      <c r="A8" s="281">
        <v>36528</v>
      </c>
      <c r="B8" t="s">
        <v>27</v>
      </c>
      <c r="C8" t="s">
        <v>24</v>
      </c>
      <c r="D8">
        <v>16000</v>
      </c>
    </row>
    <row r="9" spans="1:4" x14ac:dyDescent="0.3">
      <c r="A9" s="281">
        <v>38461</v>
      </c>
      <c r="B9" t="s">
        <v>27</v>
      </c>
      <c r="C9" t="s">
        <v>24</v>
      </c>
      <c r="D9">
        <v>18000</v>
      </c>
    </row>
    <row r="10" spans="1:4" x14ac:dyDescent="0.3">
      <c r="A10" s="281">
        <v>36545</v>
      </c>
      <c r="B10" t="s">
        <v>28</v>
      </c>
      <c r="C10" t="s">
        <v>24</v>
      </c>
      <c r="D10">
        <v>20000</v>
      </c>
    </row>
    <row r="11" spans="1:4" x14ac:dyDescent="0.3">
      <c r="A11" s="281">
        <v>36535</v>
      </c>
      <c r="B11" t="s">
        <v>29</v>
      </c>
      <c r="C11" t="s">
        <v>24</v>
      </c>
      <c r="D11">
        <v>25000</v>
      </c>
    </row>
    <row r="12" spans="1:4" x14ac:dyDescent="0.3">
      <c r="A12" s="281">
        <v>36540</v>
      </c>
      <c r="B12" t="s">
        <v>25</v>
      </c>
      <c r="C12" t="s">
        <v>30</v>
      </c>
      <c r="D12">
        <v>28000</v>
      </c>
    </row>
    <row r="13" spans="1:4" x14ac:dyDescent="0.3">
      <c r="A13" s="281">
        <v>39126</v>
      </c>
      <c r="B13" t="s">
        <v>31</v>
      </c>
      <c r="C13" t="s">
        <v>30</v>
      </c>
      <c r="D13">
        <v>30000</v>
      </c>
    </row>
    <row r="14" spans="1:4" x14ac:dyDescent="0.3">
      <c r="A14" s="281">
        <v>36538</v>
      </c>
      <c r="B14" t="s">
        <v>32</v>
      </c>
      <c r="C14" t="s">
        <v>30</v>
      </c>
      <c r="D14">
        <v>20000</v>
      </c>
    </row>
    <row r="15" spans="1:4" x14ac:dyDescent="0.3">
      <c r="A15" s="281">
        <v>36536</v>
      </c>
      <c r="B15" t="s">
        <v>26</v>
      </c>
      <c r="C15" t="s">
        <v>33</v>
      </c>
      <c r="D15">
        <v>36000</v>
      </c>
    </row>
    <row r="16" spans="1:4" x14ac:dyDescent="0.3">
      <c r="A16" s="281">
        <v>40402</v>
      </c>
      <c r="B16" t="s">
        <v>26</v>
      </c>
      <c r="C16" t="s">
        <v>33</v>
      </c>
      <c r="D16">
        <v>50000</v>
      </c>
    </row>
    <row r="17" spans="1:4" x14ac:dyDescent="0.3">
      <c r="A17" s="281">
        <v>36532</v>
      </c>
      <c r="B17" t="s">
        <v>31</v>
      </c>
      <c r="C17" t="s">
        <v>33</v>
      </c>
      <c r="D17">
        <v>38000</v>
      </c>
    </row>
    <row r="18" spans="1:4" x14ac:dyDescent="0.3">
      <c r="A18" s="281">
        <v>36547</v>
      </c>
      <c r="B18" t="s">
        <v>22</v>
      </c>
      <c r="C18" t="s">
        <v>33</v>
      </c>
      <c r="D18">
        <v>40000</v>
      </c>
    </row>
    <row r="19" spans="1:4" x14ac:dyDescent="0.3">
      <c r="A19" s="281">
        <v>36529</v>
      </c>
      <c r="B19" t="s">
        <v>28</v>
      </c>
      <c r="C19" t="s">
        <v>33</v>
      </c>
      <c r="D19">
        <v>42000</v>
      </c>
    </row>
  </sheetData>
  <pageMargins left="0.7" right="0.7" top="0.75" bottom="0.75" header="0.3" footer="0.3"/>
  <tableParts count="1">
    <tablePart r:id="rId1"/>
  </tablePart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4C149-0330-494A-A6EB-F7CAF91EB451}">
  <dimension ref="A1:F19"/>
  <sheetViews>
    <sheetView workbookViewId="0">
      <selection activeCell="C19" sqref="C19"/>
    </sheetView>
  </sheetViews>
  <sheetFormatPr defaultRowHeight="14.4" x14ac:dyDescent="0.3"/>
  <cols>
    <col min="1" max="1" width="10.109375" bestFit="1" customWidth="1"/>
    <col min="2" max="2" width="15.6640625" bestFit="1" customWidth="1"/>
    <col min="4" max="4" width="11.33203125" bestFit="1" customWidth="1"/>
    <col min="5" max="5" width="12.88671875" bestFit="1" customWidth="1"/>
    <col min="6" max="6" width="13.109375" bestFit="1" customWidth="1"/>
  </cols>
  <sheetData>
    <row r="1" spans="1:6" x14ac:dyDescent="0.3">
      <c r="A1" t="s">
        <v>18</v>
      </c>
      <c r="B1" t="s">
        <v>16</v>
      </c>
      <c r="C1" t="s">
        <v>19</v>
      </c>
      <c r="D1" t="s">
        <v>308</v>
      </c>
      <c r="E1" t="s">
        <v>309</v>
      </c>
      <c r="F1" t="s">
        <v>442</v>
      </c>
    </row>
    <row r="2" spans="1:6" x14ac:dyDescent="0.3">
      <c r="A2" s="281">
        <v>36533</v>
      </c>
      <c r="B2" t="s">
        <v>25</v>
      </c>
      <c r="C2" t="s">
        <v>20</v>
      </c>
      <c r="D2">
        <v>2000</v>
      </c>
      <c r="E2">
        <v>5000</v>
      </c>
      <c r="F2">
        <v>3000</v>
      </c>
    </row>
    <row r="3" spans="1:6" x14ac:dyDescent="0.3">
      <c r="A3" s="281">
        <v>36531</v>
      </c>
      <c r="B3" t="s">
        <v>21</v>
      </c>
      <c r="C3" t="s">
        <v>20</v>
      </c>
      <c r="D3">
        <v>4000</v>
      </c>
      <c r="E3">
        <v>6000</v>
      </c>
      <c r="F3">
        <v>2000</v>
      </c>
    </row>
    <row r="4" spans="1:6" x14ac:dyDescent="0.3">
      <c r="A4" s="281">
        <v>36542</v>
      </c>
      <c r="B4" t="s">
        <v>22</v>
      </c>
      <c r="C4" t="s">
        <v>20</v>
      </c>
      <c r="D4">
        <v>6000</v>
      </c>
      <c r="E4">
        <v>8000</v>
      </c>
      <c r="F4">
        <v>2000</v>
      </c>
    </row>
    <row r="5" spans="1:6" x14ac:dyDescent="0.3">
      <c r="A5" s="281">
        <v>36535</v>
      </c>
      <c r="B5" t="s">
        <v>22</v>
      </c>
      <c r="C5" t="s">
        <v>24</v>
      </c>
      <c r="D5">
        <v>8000</v>
      </c>
      <c r="E5">
        <v>10000</v>
      </c>
      <c r="F5">
        <v>2000</v>
      </c>
    </row>
    <row r="6" spans="1:6" x14ac:dyDescent="0.3">
      <c r="A6" s="281">
        <v>38052</v>
      </c>
      <c r="B6" t="s">
        <v>23</v>
      </c>
      <c r="C6" t="s">
        <v>20</v>
      </c>
      <c r="D6">
        <v>10000</v>
      </c>
      <c r="E6">
        <v>20000</v>
      </c>
      <c r="F6">
        <v>10000</v>
      </c>
    </row>
    <row r="7" spans="1:6" x14ac:dyDescent="0.3">
      <c r="A7" s="281">
        <v>36526</v>
      </c>
      <c r="B7" t="s">
        <v>26</v>
      </c>
      <c r="C7" t="s">
        <v>24</v>
      </c>
      <c r="D7">
        <v>14000</v>
      </c>
      <c r="E7">
        <v>18000</v>
      </c>
      <c r="F7">
        <v>4000</v>
      </c>
    </row>
    <row r="8" spans="1:6" x14ac:dyDescent="0.3">
      <c r="A8" s="281">
        <v>36528</v>
      </c>
      <c r="B8" t="s">
        <v>27</v>
      </c>
      <c r="C8" t="s">
        <v>24</v>
      </c>
      <c r="D8">
        <v>16000</v>
      </c>
      <c r="E8">
        <v>20000</v>
      </c>
      <c r="F8">
        <v>4000</v>
      </c>
    </row>
    <row r="9" spans="1:6" x14ac:dyDescent="0.3">
      <c r="A9" s="281">
        <v>38461</v>
      </c>
      <c r="B9" t="s">
        <v>27</v>
      </c>
      <c r="C9" t="s">
        <v>24</v>
      </c>
      <c r="D9">
        <v>18000</v>
      </c>
      <c r="E9">
        <v>25000</v>
      </c>
      <c r="F9">
        <v>7000</v>
      </c>
    </row>
    <row r="10" spans="1:6" x14ac:dyDescent="0.3">
      <c r="A10" s="281">
        <v>36545</v>
      </c>
      <c r="B10" t="s">
        <v>28</v>
      </c>
      <c r="C10" t="s">
        <v>24</v>
      </c>
      <c r="D10">
        <v>20000</v>
      </c>
      <c r="E10">
        <v>28000</v>
      </c>
      <c r="F10">
        <v>8000</v>
      </c>
    </row>
    <row r="11" spans="1:6" x14ac:dyDescent="0.3">
      <c r="A11" s="281">
        <v>36535</v>
      </c>
      <c r="B11" t="s">
        <v>29</v>
      </c>
      <c r="C11" t="s">
        <v>24</v>
      </c>
      <c r="D11">
        <v>25000</v>
      </c>
      <c r="E11">
        <v>30000</v>
      </c>
      <c r="F11">
        <v>5000</v>
      </c>
    </row>
    <row r="12" spans="1:6" x14ac:dyDescent="0.3">
      <c r="A12" s="281">
        <v>36540</v>
      </c>
      <c r="B12" t="s">
        <v>25</v>
      </c>
      <c r="C12" t="s">
        <v>30</v>
      </c>
      <c r="D12">
        <v>28000</v>
      </c>
      <c r="E12">
        <v>30000</v>
      </c>
      <c r="F12">
        <v>2000</v>
      </c>
    </row>
    <row r="13" spans="1:6" x14ac:dyDescent="0.3">
      <c r="A13" s="281">
        <v>39126</v>
      </c>
      <c r="B13" t="s">
        <v>31</v>
      </c>
      <c r="C13" t="s">
        <v>30</v>
      </c>
      <c r="D13">
        <v>30000</v>
      </c>
      <c r="E13">
        <v>38000</v>
      </c>
      <c r="F13">
        <v>8000</v>
      </c>
    </row>
    <row r="14" spans="1:6" x14ac:dyDescent="0.3">
      <c r="A14" s="281">
        <v>36538</v>
      </c>
      <c r="B14" t="s">
        <v>32</v>
      </c>
      <c r="C14" t="s">
        <v>30</v>
      </c>
      <c r="D14">
        <v>20000</v>
      </c>
      <c r="E14">
        <v>40000</v>
      </c>
      <c r="F14">
        <v>20000</v>
      </c>
    </row>
    <row r="15" spans="1:6" x14ac:dyDescent="0.3">
      <c r="A15" s="281">
        <v>36536</v>
      </c>
      <c r="B15" t="s">
        <v>26</v>
      </c>
      <c r="C15" t="s">
        <v>33</v>
      </c>
      <c r="D15">
        <v>36000</v>
      </c>
      <c r="E15">
        <v>30000</v>
      </c>
      <c r="F15">
        <v>-6000</v>
      </c>
    </row>
    <row r="16" spans="1:6" x14ac:dyDescent="0.3">
      <c r="A16" s="281">
        <v>40402</v>
      </c>
      <c r="B16" t="s">
        <v>26</v>
      </c>
      <c r="C16" t="s">
        <v>33</v>
      </c>
      <c r="D16">
        <v>50000</v>
      </c>
      <c r="E16">
        <v>55000</v>
      </c>
      <c r="F16">
        <v>5000</v>
      </c>
    </row>
    <row r="17" spans="1:6" x14ac:dyDescent="0.3">
      <c r="A17" s="281">
        <v>36532</v>
      </c>
      <c r="B17" t="s">
        <v>31</v>
      </c>
      <c r="C17" t="s">
        <v>33</v>
      </c>
      <c r="D17">
        <v>38000</v>
      </c>
      <c r="E17">
        <v>42000</v>
      </c>
      <c r="F17">
        <v>4000</v>
      </c>
    </row>
    <row r="18" spans="1:6" x14ac:dyDescent="0.3">
      <c r="A18" s="281">
        <v>36547</v>
      </c>
      <c r="B18" t="s">
        <v>22</v>
      </c>
      <c r="C18" t="s">
        <v>33</v>
      </c>
      <c r="D18">
        <v>40000</v>
      </c>
      <c r="E18">
        <v>35000</v>
      </c>
      <c r="F18">
        <v>-5000</v>
      </c>
    </row>
    <row r="19" spans="1:6" x14ac:dyDescent="0.3">
      <c r="A19" s="281">
        <v>36529</v>
      </c>
      <c r="B19" t="s">
        <v>28</v>
      </c>
      <c r="C19" t="s">
        <v>33</v>
      </c>
      <c r="D19">
        <v>42000</v>
      </c>
      <c r="E19">
        <v>30000</v>
      </c>
      <c r="F19">
        <v>-12000</v>
      </c>
    </row>
  </sheetData>
  <pageMargins left="0.7" right="0.7" top="0.75" bottom="0.75" header="0.3" footer="0.3"/>
  <tableParts count="1">
    <tablePart r:id="rId1"/>
  </tablePart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05B2-BF5A-4982-B041-4561AA57E101}">
  <dimension ref="A1:F7"/>
  <sheetViews>
    <sheetView workbookViewId="0">
      <selection activeCell="C19" sqref="C19"/>
    </sheetView>
  </sheetViews>
  <sheetFormatPr defaultRowHeight="14.4" x14ac:dyDescent="0.3"/>
  <cols>
    <col min="1" max="1" width="10.109375" bestFit="1" customWidth="1"/>
    <col min="2" max="2" width="13.109375" bestFit="1" customWidth="1"/>
    <col min="4" max="4" width="11.33203125" bestFit="1" customWidth="1"/>
    <col min="5" max="5" width="12.88671875" bestFit="1" customWidth="1"/>
    <col min="6" max="6" width="13.109375" bestFit="1" customWidth="1"/>
  </cols>
  <sheetData>
    <row r="1" spans="1:6" x14ac:dyDescent="0.3">
      <c r="A1" t="s">
        <v>18</v>
      </c>
      <c r="B1" t="s">
        <v>16</v>
      </c>
      <c r="C1" t="s">
        <v>19</v>
      </c>
      <c r="D1" t="s">
        <v>308</v>
      </c>
      <c r="E1" t="s">
        <v>309</v>
      </c>
      <c r="F1" t="s">
        <v>442</v>
      </c>
    </row>
    <row r="2" spans="1:6" x14ac:dyDescent="0.3">
      <c r="A2" s="281">
        <v>36538</v>
      </c>
      <c r="B2" t="s">
        <v>32</v>
      </c>
      <c r="C2" t="s">
        <v>30</v>
      </c>
      <c r="D2">
        <v>20000</v>
      </c>
      <c r="E2">
        <v>40000</v>
      </c>
      <c r="F2">
        <v>20000</v>
      </c>
    </row>
    <row r="3" spans="1:6" x14ac:dyDescent="0.3">
      <c r="A3" s="281">
        <v>36536</v>
      </c>
      <c r="B3" t="s">
        <v>26</v>
      </c>
      <c r="C3" t="s">
        <v>33</v>
      </c>
      <c r="D3">
        <v>36000</v>
      </c>
      <c r="E3">
        <v>30000</v>
      </c>
      <c r="F3">
        <v>-6000</v>
      </c>
    </row>
    <row r="4" spans="1:6" x14ac:dyDescent="0.3">
      <c r="A4" s="281">
        <v>40402</v>
      </c>
      <c r="B4" t="s">
        <v>26</v>
      </c>
      <c r="C4" t="s">
        <v>33</v>
      </c>
      <c r="D4">
        <v>50000</v>
      </c>
      <c r="E4">
        <v>55000</v>
      </c>
      <c r="F4">
        <v>5000</v>
      </c>
    </row>
    <row r="5" spans="1:6" x14ac:dyDescent="0.3">
      <c r="A5" s="281">
        <v>36532</v>
      </c>
      <c r="B5" t="s">
        <v>31</v>
      </c>
      <c r="C5" t="s">
        <v>33</v>
      </c>
      <c r="D5">
        <v>38000</v>
      </c>
      <c r="E5">
        <v>42000</v>
      </c>
      <c r="F5">
        <v>4000</v>
      </c>
    </row>
    <row r="6" spans="1:6" x14ac:dyDescent="0.3">
      <c r="A6" s="281">
        <v>36547</v>
      </c>
      <c r="B6" t="s">
        <v>22</v>
      </c>
      <c r="C6" t="s">
        <v>33</v>
      </c>
      <c r="D6">
        <v>40000</v>
      </c>
      <c r="E6">
        <v>35000</v>
      </c>
      <c r="F6">
        <v>-5000</v>
      </c>
    </row>
    <row r="7" spans="1:6" x14ac:dyDescent="0.3">
      <c r="A7" s="281">
        <v>36529</v>
      </c>
      <c r="B7" t="s">
        <v>28</v>
      </c>
      <c r="C7" t="s">
        <v>33</v>
      </c>
      <c r="D7">
        <v>42000</v>
      </c>
      <c r="E7">
        <v>30000</v>
      </c>
      <c r="F7">
        <v>-12000</v>
      </c>
    </row>
  </sheetData>
  <pageMargins left="0.7" right="0.7" top="0.75" bottom="0.75" header="0.3" footer="0.3"/>
  <tableParts count="1">
    <tablePart r:id="rId1"/>
  </tablePart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413E1-BE5C-41BA-9171-952A9A2DD24D}">
  <dimension ref="A1:F7"/>
  <sheetViews>
    <sheetView workbookViewId="0">
      <selection activeCell="C19" sqref="C19"/>
    </sheetView>
  </sheetViews>
  <sheetFormatPr defaultRowHeight="14.4" x14ac:dyDescent="0.3"/>
  <cols>
    <col min="1" max="1" width="10.109375" bestFit="1" customWidth="1"/>
    <col min="2" max="2" width="15.6640625" bestFit="1" customWidth="1"/>
    <col min="4" max="4" width="11.33203125" bestFit="1" customWidth="1"/>
    <col min="5" max="5" width="12.88671875" bestFit="1" customWidth="1"/>
    <col min="6" max="6" width="13.109375" bestFit="1" customWidth="1"/>
  </cols>
  <sheetData>
    <row r="1" spans="1:6" x14ac:dyDescent="0.3">
      <c r="A1" t="s">
        <v>18</v>
      </c>
      <c r="B1" t="s">
        <v>16</v>
      </c>
      <c r="C1" t="s">
        <v>19</v>
      </c>
      <c r="D1" t="s">
        <v>308</v>
      </c>
      <c r="E1" t="s">
        <v>309</v>
      </c>
      <c r="F1" t="s">
        <v>442</v>
      </c>
    </row>
    <row r="2" spans="1:6" x14ac:dyDescent="0.3">
      <c r="A2" s="281">
        <v>36528</v>
      </c>
      <c r="B2" t="s">
        <v>27</v>
      </c>
      <c r="C2" t="s">
        <v>24</v>
      </c>
      <c r="D2">
        <v>16000</v>
      </c>
      <c r="E2">
        <v>20000</v>
      </c>
      <c r="F2">
        <v>4000</v>
      </c>
    </row>
    <row r="3" spans="1:6" x14ac:dyDescent="0.3">
      <c r="A3" s="281">
        <v>38461</v>
      </c>
      <c r="B3" t="s">
        <v>27</v>
      </c>
      <c r="C3" t="s">
        <v>24</v>
      </c>
      <c r="D3">
        <v>18000</v>
      </c>
      <c r="E3">
        <v>25000</v>
      </c>
      <c r="F3">
        <v>7000</v>
      </c>
    </row>
    <row r="4" spans="1:6" x14ac:dyDescent="0.3">
      <c r="A4" s="281">
        <v>36545</v>
      </c>
      <c r="B4" t="s">
        <v>28</v>
      </c>
      <c r="C4" t="s">
        <v>24</v>
      </c>
      <c r="D4">
        <v>20000</v>
      </c>
      <c r="E4">
        <v>28000</v>
      </c>
      <c r="F4">
        <v>8000</v>
      </c>
    </row>
    <row r="5" spans="1:6" x14ac:dyDescent="0.3">
      <c r="A5" s="281">
        <v>36535</v>
      </c>
      <c r="B5" t="s">
        <v>29</v>
      </c>
      <c r="C5" t="s">
        <v>24</v>
      </c>
      <c r="D5">
        <v>25000</v>
      </c>
      <c r="E5">
        <v>30000</v>
      </c>
      <c r="F5">
        <v>5000</v>
      </c>
    </row>
    <row r="6" spans="1:6" x14ac:dyDescent="0.3">
      <c r="A6" s="281">
        <v>36540</v>
      </c>
      <c r="B6" t="s">
        <v>25</v>
      </c>
      <c r="C6" t="s">
        <v>30</v>
      </c>
      <c r="D6">
        <v>28000</v>
      </c>
      <c r="E6">
        <v>30000</v>
      </c>
      <c r="F6">
        <v>2000</v>
      </c>
    </row>
    <row r="7" spans="1:6" x14ac:dyDescent="0.3">
      <c r="A7" s="281">
        <v>39126</v>
      </c>
      <c r="B7" t="s">
        <v>31</v>
      </c>
      <c r="C7" t="s">
        <v>30</v>
      </c>
      <c r="D7">
        <v>30000</v>
      </c>
      <c r="E7">
        <v>38000</v>
      </c>
      <c r="F7">
        <v>8000</v>
      </c>
    </row>
  </sheetData>
  <pageMargins left="0.7" right="0.7" top="0.75" bottom="0.75" header="0.3" footer="0.3"/>
  <tableParts count="1">
    <tablePart r:id="rId1"/>
  </tablePart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FB0FB-0000-40D5-B177-51A91D4F3CCE}">
  <dimension ref="A1:F7"/>
  <sheetViews>
    <sheetView workbookViewId="0">
      <selection activeCell="C19" sqref="C19"/>
    </sheetView>
  </sheetViews>
  <sheetFormatPr defaultRowHeight="14.4" x14ac:dyDescent="0.3"/>
  <cols>
    <col min="1" max="1" width="10.109375" bestFit="1" customWidth="1"/>
    <col min="2" max="2" width="15.6640625" bestFit="1" customWidth="1"/>
    <col min="4" max="4" width="11.33203125" bestFit="1" customWidth="1"/>
    <col min="5" max="5" width="12.88671875" bestFit="1" customWidth="1"/>
    <col min="6" max="6" width="13.109375" bestFit="1" customWidth="1"/>
  </cols>
  <sheetData>
    <row r="1" spans="1:6" x14ac:dyDescent="0.3">
      <c r="A1" t="s">
        <v>18</v>
      </c>
      <c r="B1" t="s">
        <v>16</v>
      </c>
      <c r="C1" t="s">
        <v>19</v>
      </c>
      <c r="D1" t="s">
        <v>308</v>
      </c>
      <c r="E1" t="s">
        <v>309</v>
      </c>
      <c r="F1" t="s">
        <v>442</v>
      </c>
    </row>
    <row r="2" spans="1:6" x14ac:dyDescent="0.3">
      <c r="A2" s="281">
        <v>36533</v>
      </c>
      <c r="B2" t="s">
        <v>25</v>
      </c>
      <c r="C2" t="s">
        <v>20</v>
      </c>
      <c r="D2">
        <v>2000</v>
      </c>
      <c r="E2">
        <v>5000</v>
      </c>
      <c r="F2">
        <v>3000</v>
      </c>
    </row>
    <row r="3" spans="1:6" x14ac:dyDescent="0.3">
      <c r="A3" s="281">
        <v>36531</v>
      </c>
      <c r="B3" t="s">
        <v>21</v>
      </c>
      <c r="C3" t="s">
        <v>20</v>
      </c>
      <c r="D3">
        <v>4000</v>
      </c>
      <c r="E3">
        <v>6000</v>
      </c>
      <c r="F3">
        <v>2000</v>
      </c>
    </row>
    <row r="4" spans="1:6" x14ac:dyDescent="0.3">
      <c r="A4" s="281">
        <v>36542</v>
      </c>
      <c r="B4" t="s">
        <v>22</v>
      </c>
      <c r="C4" t="s">
        <v>20</v>
      </c>
      <c r="D4">
        <v>6000</v>
      </c>
      <c r="E4">
        <v>8000</v>
      </c>
      <c r="F4">
        <v>2000</v>
      </c>
    </row>
    <row r="5" spans="1:6" x14ac:dyDescent="0.3">
      <c r="A5" s="281">
        <v>36535</v>
      </c>
      <c r="B5" t="s">
        <v>22</v>
      </c>
      <c r="C5" t="s">
        <v>24</v>
      </c>
      <c r="D5">
        <v>8000</v>
      </c>
      <c r="E5">
        <v>10000</v>
      </c>
      <c r="F5">
        <v>2000</v>
      </c>
    </row>
    <row r="6" spans="1:6" x14ac:dyDescent="0.3">
      <c r="A6" s="281">
        <v>38052</v>
      </c>
      <c r="B6" t="s">
        <v>23</v>
      </c>
      <c r="C6" t="s">
        <v>20</v>
      </c>
      <c r="D6">
        <v>10000</v>
      </c>
      <c r="E6">
        <v>20000</v>
      </c>
      <c r="F6">
        <v>10000</v>
      </c>
    </row>
    <row r="7" spans="1:6" x14ac:dyDescent="0.3">
      <c r="A7" s="281">
        <v>36526</v>
      </c>
      <c r="B7" t="s">
        <v>26</v>
      </c>
      <c r="C7" t="s">
        <v>24</v>
      </c>
      <c r="D7">
        <v>14000</v>
      </c>
      <c r="E7">
        <v>18000</v>
      </c>
      <c r="F7">
        <v>4000</v>
      </c>
    </row>
  </sheetData>
  <pageMargins left="0.7" right="0.7" top="0.75" bottom="0.75" header="0.3" footer="0.3"/>
  <tableParts count="1">
    <tablePart r:id="rId1"/>
  </tablePart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71CF2-ECE6-4B8A-9494-78D9F2B6307A}">
  <dimension ref="B1:K20"/>
  <sheetViews>
    <sheetView topLeftCell="A4" workbookViewId="0">
      <selection activeCell="C19" sqref="C19:K19"/>
    </sheetView>
  </sheetViews>
  <sheetFormatPr defaultColWidth="8.77734375" defaultRowHeight="14.4" x14ac:dyDescent="0.3"/>
  <cols>
    <col min="1" max="1" width="8.77734375" style="109"/>
    <col min="2" max="2" width="18" style="109" customWidth="1"/>
    <col min="3" max="3" width="18.77734375" style="109" customWidth="1"/>
    <col min="4" max="4" width="11.88671875" style="109" customWidth="1"/>
    <col min="5" max="5" width="11.77734375" style="109" customWidth="1"/>
    <col min="6" max="6" width="11.109375" style="109" customWidth="1"/>
    <col min="7" max="7" width="12.109375" style="109" customWidth="1"/>
    <col min="8" max="8" width="12.77734375" style="109" customWidth="1"/>
    <col min="9" max="9" width="11.44140625" style="109" customWidth="1"/>
    <col min="10" max="10" width="12.77734375" style="109" customWidth="1"/>
    <col min="11" max="11" width="11.77734375" style="109" customWidth="1"/>
    <col min="12" max="16384" width="8.77734375" style="109"/>
  </cols>
  <sheetData>
    <row r="1" spans="2:11" ht="15" thickBot="1" x14ac:dyDescent="0.35"/>
    <row r="2" spans="2:11" ht="59.55" customHeight="1" thickTop="1" thickBot="1" x14ac:dyDescent="0.35">
      <c r="B2" s="697"/>
      <c r="C2" s="758" t="s">
        <v>680</v>
      </c>
      <c r="D2" s="758"/>
      <c r="E2" s="758"/>
      <c r="F2" s="758"/>
      <c r="G2" s="758"/>
      <c r="H2" s="758"/>
      <c r="I2" s="758"/>
      <c r="J2" s="758"/>
      <c r="K2" s="758"/>
    </row>
    <row r="3" spans="2:11" ht="15" thickTop="1" x14ac:dyDescent="0.3"/>
    <row r="5" spans="2:11" ht="19.05" customHeight="1" x14ac:dyDescent="0.3">
      <c r="B5" s="759" t="s">
        <v>679</v>
      </c>
      <c r="C5" s="760"/>
      <c r="D5" s="760"/>
      <c r="E5" s="760"/>
      <c r="F5" s="760"/>
      <c r="G5" s="761"/>
    </row>
    <row r="6" spans="2:11" ht="15.6" x14ac:dyDescent="0.3">
      <c r="B6" s="696" t="s">
        <v>678</v>
      </c>
      <c r="C6" s="696">
        <v>2012</v>
      </c>
      <c r="D6" s="696">
        <v>2013</v>
      </c>
      <c r="E6" s="696">
        <v>2014</v>
      </c>
      <c r="F6" s="696">
        <v>2015</v>
      </c>
      <c r="G6" s="695">
        <v>2016</v>
      </c>
    </row>
    <row r="7" spans="2:11" ht="15.6" x14ac:dyDescent="0.3">
      <c r="B7" s="691" t="s">
        <v>677</v>
      </c>
      <c r="C7" s="691">
        <v>432521</v>
      </c>
      <c r="D7" s="691">
        <v>227724</v>
      </c>
      <c r="E7" s="691">
        <v>530619</v>
      </c>
      <c r="F7" s="691">
        <v>182911</v>
      </c>
      <c r="G7" s="690">
        <v>182000</v>
      </c>
    </row>
    <row r="8" spans="2:11" ht="28.5" customHeight="1" x14ac:dyDescent="0.3">
      <c r="B8" s="691"/>
      <c r="C8" s="691"/>
      <c r="D8" s="691"/>
      <c r="E8" s="691"/>
      <c r="F8" s="691"/>
      <c r="G8" s="692"/>
    </row>
    <row r="9" spans="2:11" ht="15.6" x14ac:dyDescent="0.3">
      <c r="B9" s="691" t="s">
        <v>676</v>
      </c>
      <c r="C9" s="691">
        <v>44244</v>
      </c>
      <c r="D9" s="691">
        <v>310416</v>
      </c>
      <c r="E9" s="691"/>
      <c r="F9" s="691">
        <v>92490</v>
      </c>
      <c r="G9" s="690">
        <v>921000</v>
      </c>
    </row>
    <row r="10" spans="2:11" ht="15.6" x14ac:dyDescent="0.3">
      <c r="B10" s="691" t="s">
        <v>675</v>
      </c>
      <c r="C10" s="691">
        <v>433796</v>
      </c>
      <c r="D10" s="691">
        <v>191447</v>
      </c>
      <c r="E10" s="691">
        <v>18073</v>
      </c>
      <c r="F10" s="691">
        <v>484888</v>
      </c>
      <c r="G10" s="690">
        <v>484000</v>
      </c>
    </row>
    <row r="11" spans="2:11" ht="29.55" customHeight="1" x14ac:dyDescent="0.3">
      <c r="B11" s="693" t="s">
        <v>674</v>
      </c>
      <c r="C11" s="693">
        <v>50000</v>
      </c>
      <c r="D11" s="693">
        <v>60000</v>
      </c>
      <c r="E11" s="693">
        <v>30000</v>
      </c>
      <c r="F11" s="693"/>
      <c r="G11" s="694">
        <v>87494</v>
      </c>
    </row>
    <row r="12" spans="2:11" ht="15.6" x14ac:dyDescent="0.3">
      <c r="B12" s="693"/>
      <c r="C12" s="693"/>
      <c r="D12" s="693"/>
      <c r="E12" s="693"/>
      <c r="F12" s="693"/>
      <c r="G12" s="692"/>
    </row>
    <row r="13" spans="2:11" ht="15.6" x14ac:dyDescent="0.3">
      <c r="B13" s="691" t="s">
        <v>673</v>
      </c>
      <c r="C13" s="691">
        <v>539770</v>
      </c>
      <c r="D13" s="691">
        <v>125314</v>
      </c>
      <c r="E13" s="691">
        <v>38178</v>
      </c>
      <c r="F13" s="691">
        <v>419229</v>
      </c>
      <c r="G13" s="690">
        <v>419000</v>
      </c>
    </row>
    <row r="14" spans="2:11" ht="15.6" x14ac:dyDescent="0.3">
      <c r="B14" s="691" t="s">
        <v>672</v>
      </c>
      <c r="C14" s="691">
        <v>597406</v>
      </c>
      <c r="D14" s="691">
        <v>144037</v>
      </c>
      <c r="E14" s="691">
        <v>362484</v>
      </c>
      <c r="F14" s="691">
        <v>238034</v>
      </c>
      <c r="G14" s="690">
        <v>238000</v>
      </c>
    </row>
    <row r="15" spans="2:11" ht="15.6" x14ac:dyDescent="0.3">
      <c r="B15" s="691"/>
      <c r="C15" s="691"/>
      <c r="D15" s="691"/>
      <c r="E15" s="691"/>
      <c r="F15" s="691"/>
      <c r="G15" s="692"/>
    </row>
    <row r="16" spans="2:11" ht="15.6" x14ac:dyDescent="0.3">
      <c r="B16" s="691" t="s">
        <v>671</v>
      </c>
      <c r="C16" s="691">
        <v>65000</v>
      </c>
      <c r="D16" s="691"/>
      <c r="E16" s="691">
        <v>70000</v>
      </c>
      <c r="F16" s="691">
        <v>40000</v>
      </c>
      <c r="G16" s="690">
        <v>380000</v>
      </c>
    </row>
    <row r="18" spans="3:11" ht="15" thickBot="1" x14ac:dyDescent="0.35"/>
    <row r="19" spans="3:11" ht="88.5" customHeight="1" thickTop="1" thickBot="1" x14ac:dyDescent="0.35">
      <c r="C19" s="756" t="s">
        <v>670</v>
      </c>
      <c r="D19" s="757"/>
      <c r="E19" s="757"/>
      <c r="F19" s="757"/>
      <c r="G19" s="757"/>
      <c r="H19" s="757"/>
      <c r="I19" s="757"/>
      <c r="J19" s="757"/>
      <c r="K19" s="757"/>
    </row>
    <row r="20" spans="3:11" ht="15" thickTop="1" x14ac:dyDescent="0.3"/>
  </sheetData>
  <mergeCells count="3">
    <mergeCell ref="C19:K19"/>
    <mergeCell ref="C2:K2"/>
    <mergeCell ref="B5:G5"/>
  </mergeCell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4449A-2223-4DE4-B9FE-7534C36200B1}">
  <dimension ref="B1:K34"/>
  <sheetViews>
    <sheetView topLeftCell="A5" workbookViewId="0">
      <selection activeCell="H9" sqref="H9"/>
    </sheetView>
  </sheetViews>
  <sheetFormatPr defaultColWidth="14.88671875" defaultRowHeight="20.55" customHeight="1" x14ac:dyDescent="0.35"/>
  <cols>
    <col min="1" max="1" width="14.88671875" style="698"/>
    <col min="2" max="2" width="20.77734375" style="698" customWidth="1"/>
    <col min="3" max="3" width="14.77734375" style="698" customWidth="1"/>
    <col min="4" max="4" width="14.109375" style="698" customWidth="1"/>
    <col min="5" max="5" width="14.5546875" style="698" customWidth="1"/>
    <col min="6" max="6" width="14.88671875" style="698" customWidth="1"/>
    <col min="7" max="7" width="14.6640625" style="698" customWidth="1"/>
    <col min="8" max="16384" width="14.88671875" style="698"/>
  </cols>
  <sheetData>
    <row r="1" spans="2:11" ht="20.55" customHeight="1" thickBot="1" x14ac:dyDescent="0.4"/>
    <row r="2" spans="2:11" s="711" customFormat="1" ht="58.5" customHeight="1" thickTop="1" thickBot="1" x14ac:dyDescent="0.35">
      <c r="B2" s="758" t="s">
        <v>680</v>
      </c>
      <c r="C2" s="758"/>
      <c r="D2" s="758"/>
      <c r="E2" s="758"/>
      <c r="F2" s="758"/>
      <c r="G2" s="758"/>
      <c r="H2" s="758"/>
      <c r="I2" s="758"/>
      <c r="J2" s="758"/>
      <c r="K2" s="758"/>
    </row>
    <row r="3" spans="2:11" ht="20.55" customHeight="1" thickTop="1" x14ac:dyDescent="0.35"/>
    <row r="5" spans="2:11" ht="20.55" customHeight="1" x14ac:dyDescent="0.35">
      <c r="B5" s="762" t="s">
        <v>679</v>
      </c>
      <c r="C5" s="763"/>
      <c r="D5" s="763"/>
      <c r="E5" s="763"/>
      <c r="F5" s="763"/>
      <c r="G5" s="764"/>
    </row>
    <row r="6" spans="2:11" ht="20.55" customHeight="1" x14ac:dyDescent="0.35">
      <c r="B6" s="710" t="s">
        <v>678</v>
      </c>
      <c r="C6" s="709" t="s">
        <v>685</v>
      </c>
      <c r="D6" s="709" t="s">
        <v>684</v>
      </c>
      <c r="E6" s="709" t="s">
        <v>683</v>
      </c>
      <c r="F6" s="709" t="s">
        <v>682</v>
      </c>
      <c r="G6" s="708" t="s">
        <v>681</v>
      </c>
    </row>
    <row r="7" spans="2:11" ht="20.55" customHeight="1" x14ac:dyDescent="0.35">
      <c r="B7" s="704" t="s">
        <v>677</v>
      </c>
      <c r="C7" s="703">
        <v>432521</v>
      </c>
      <c r="D7" s="703">
        <v>227724</v>
      </c>
      <c r="E7" s="703">
        <v>530619</v>
      </c>
      <c r="F7" s="703">
        <v>182911</v>
      </c>
      <c r="G7" s="702">
        <v>182000</v>
      </c>
    </row>
    <row r="8" spans="2:11" ht="20.55" customHeight="1" x14ac:dyDescent="0.35">
      <c r="B8" s="704" t="s">
        <v>676</v>
      </c>
      <c r="C8" s="703">
        <v>44244</v>
      </c>
      <c r="D8" s="703">
        <v>310416</v>
      </c>
      <c r="E8" s="706">
        <v>123456</v>
      </c>
      <c r="F8" s="703">
        <v>92490</v>
      </c>
      <c r="G8" s="702">
        <v>921000</v>
      </c>
    </row>
    <row r="9" spans="2:11" ht="20.55" customHeight="1" x14ac:dyDescent="0.35">
      <c r="B9" s="704" t="s">
        <v>675</v>
      </c>
      <c r="C9" s="703">
        <v>433796</v>
      </c>
      <c r="D9" s="703">
        <v>191447</v>
      </c>
      <c r="E9" s="703">
        <v>18073</v>
      </c>
      <c r="F9" s="703">
        <v>484888</v>
      </c>
      <c r="G9" s="702">
        <v>484000</v>
      </c>
    </row>
    <row r="10" spans="2:11" ht="20.55" customHeight="1" x14ac:dyDescent="0.35">
      <c r="B10" s="707" t="s">
        <v>674</v>
      </c>
      <c r="C10" s="706">
        <v>50000</v>
      </c>
      <c r="D10" s="706">
        <v>60000</v>
      </c>
      <c r="E10" s="706">
        <v>30000</v>
      </c>
      <c r="F10" s="706">
        <v>75120</v>
      </c>
      <c r="G10" s="705">
        <v>87494</v>
      </c>
    </row>
    <row r="11" spans="2:11" ht="20.55" customHeight="1" x14ac:dyDescent="0.35">
      <c r="B11" s="704" t="s">
        <v>673</v>
      </c>
      <c r="C11" s="703">
        <v>539770</v>
      </c>
      <c r="D11" s="703">
        <v>125314</v>
      </c>
      <c r="E11" s="703">
        <v>38178</v>
      </c>
      <c r="F11" s="703">
        <v>419229</v>
      </c>
      <c r="G11" s="702">
        <v>419000</v>
      </c>
    </row>
    <row r="12" spans="2:11" ht="20.55" customHeight="1" x14ac:dyDescent="0.35">
      <c r="B12" s="704" t="s">
        <v>672</v>
      </c>
      <c r="C12" s="703">
        <v>597406</v>
      </c>
      <c r="D12" s="703">
        <v>144037</v>
      </c>
      <c r="E12" s="703">
        <v>362484</v>
      </c>
      <c r="F12" s="703">
        <v>238034</v>
      </c>
      <c r="G12" s="702">
        <v>238000</v>
      </c>
    </row>
    <row r="13" spans="2:11" ht="19.5" customHeight="1" x14ac:dyDescent="0.35">
      <c r="B13" s="701" t="s">
        <v>671</v>
      </c>
      <c r="C13" s="700">
        <v>65000</v>
      </c>
      <c r="D13" s="700">
        <v>123456</v>
      </c>
      <c r="E13" s="700">
        <v>70000</v>
      </c>
      <c r="F13" s="700">
        <v>40000</v>
      </c>
      <c r="G13" s="699">
        <v>380000</v>
      </c>
    </row>
    <row r="14" spans="2:11" ht="20.55" customHeight="1" thickBot="1" x14ac:dyDescent="0.4">
      <c r="B14"/>
      <c r="C14"/>
      <c r="D14"/>
      <c r="E14"/>
      <c r="F14"/>
      <c r="G14"/>
    </row>
    <row r="15" spans="2:11" ht="88.5" customHeight="1" thickTop="1" thickBot="1" x14ac:dyDescent="0.4">
      <c r="B15" s="756" t="s">
        <v>670</v>
      </c>
      <c r="C15" s="757"/>
      <c r="D15" s="757"/>
      <c r="E15" s="757"/>
      <c r="F15" s="757"/>
      <c r="G15" s="757"/>
      <c r="H15" s="757"/>
      <c r="I15" s="757"/>
      <c r="J15" s="757"/>
    </row>
    <row r="16" spans="2:11" ht="20.55" customHeight="1" thickTop="1" x14ac:dyDescent="0.35"/>
    <row r="26" spans="2:4" ht="20.55" customHeight="1" x14ac:dyDescent="0.35">
      <c r="B26"/>
      <c r="C26"/>
      <c r="D26"/>
    </row>
    <row r="27" spans="2:4" ht="20.55" customHeight="1" x14ac:dyDescent="0.35">
      <c r="B27"/>
      <c r="C27"/>
      <c r="D27"/>
    </row>
    <row r="28" spans="2:4" ht="20.55" customHeight="1" x14ac:dyDescent="0.35">
      <c r="B28"/>
      <c r="C28"/>
      <c r="D28"/>
    </row>
    <row r="29" spans="2:4" ht="20.55" customHeight="1" x14ac:dyDescent="0.35">
      <c r="B29"/>
      <c r="C29"/>
      <c r="D29"/>
    </row>
    <row r="30" spans="2:4" ht="20.55" customHeight="1" x14ac:dyDescent="0.35">
      <c r="B30"/>
      <c r="C30"/>
      <c r="D30"/>
    </row>
    <row r="31" spans="2:4" ht="20.55" customHeight="1" x14ac:dyDescent="0.35">
      <c r="B31"/>
      <c r="C31"/>
      <c r="D31"/>
    </row>
    <row r="32" spans="2:4" ht="20.55" customHeight="1" x14ac:dyDescent="0.35">
      <c r="B32"/>
      <c r="C32"/>
      <c r="D32"/>
    </row>
    <row r="33" spans="2:4" ht="20.55" customHeight="1" x14ac:dyDescent="0.35">
      <c r="B33"/>
      <c r="C33"/>
      <c r="D33"/>
    </row>
    <row r="34" spans="2:4" ht="20.55" customHeight="1" x14ac:dyDescent="0.35">
      <c r="B34"/>
      <c r="C34"/>
      <c r="D34"/>
    </row>
  </sheetData>
  <mergeCells count="3">
    <mergeCell ref="B15:J15"/>
    <mergeCell ref="B2:K2"/>
    <mergeCell ref="B5:G5"/>
  </mergeCells>
  <pageMargins left="0.7" right="0.7" top="0.75" bottom="0.75" header="0.3" footer="0.3"/>
  <pageSetup orientation="portrait" r:id="rId1"/>
  <tableParts count="1">
    <tablePart r:id="rId2"/>
  </tablePart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E8F59-D77B-4800-87E9-CA3F8A8AE95C}">
  <dimension ref="G21:L29"/>
  <sheetViews>
    <sheetView workbookViewId="0">
      <selection activeCell="I57" sqref="I57"/>
    </sheetView>
  </sheetViews>
  <sheetFormatPr defaultColWidth="8.77734375" defaultRowHeight="14.4" x14ac:dyDescent="0.3"/>
  <cols>
    <col min="1" max="6" width="8.77734375" style="712"/>
    <col min="7" max="7" width="19.21875" style="712" bestFit="1" customWidth="1"/>
    <col min="8" max="12" width="15.6640625" style="712" bestFit="1" customWidth="1"/>
    <col min="13" max="16384" width="8.77734375" style="712"/>
  </cols>
  <sheetData>
    <row r="21" spans="7:12" ht="17.399999999999999" x14ac:dyDescent="0.3">
      <c r="G21" s="713" t="s">
        <v>678</v>
      </c>
      <c r="H21" s="179" t="s">
        <v>686</v>
      </c>
      <c r="I21" s="179" t="s">
        <v>687</v>
      </c>
      <c r="J21" s="179" t="s">
        <v>688</v>
      </c>
      <c r="K21" s="179" t="s">
        <v>689</v>
      </c>
      <c r="L21" s="179" t="s">
        <v>690</v>
      </c>
    </row>
    <row r="22" spans="7:12" ht="17.399999999999999" x14ac:dyDescent="0.3">
      <c r="G22" s="179" t="s">
        <v>677</v>
      </c>
      <c r="H22" s="179">
        <v>432521</v>
      </c>
      <c r="I22" s="179">
        <v>227724</v>
      </c>
      <c r="J22" s="179">
        <v>530619</v>
      </c>
      <c r="K22" s="179">
        <v>182911</v>
      </c>
      <c r="L22" s="179">
        <v>182000</v>
      </c>
    </row>
    <row r="23" spans="7:12" ht="17.399999999999999" x14ac:dyDescent="0.3">
      <c r="G23" s="179" t="s">
        <v>676</v>
      </c>
      <c r="H23" s="179">
        <v>44244</v>
      </c>
      <c r="I23" s="179">
        <v>310416</v>
      </c>
      <c r="J23" s="179">
        <v>123456</v>
      </c>
      <c r="K23" s="179">
        <v>92490</v>
      </c>
      <c r="L23" s="179">
        <v>921000</v>
      </c>
    </row>
    <row r="24" spans="7:12" ht="17.399999999999999" x14ac:dyDescent="0.3">
      <c r="G24" s="179" t="s">
        <v>675</v>
      </c>
      <c r="H24" s="179">
        <v>433796</v>
      </c>
      <c r="I24" s="179">
        <v>191447</v>
      </c>
      <c r="J24" s="179">
        <v>18073</v>
      </c>
      <c r="K24" s="179">
        <v>484888</v>
      </c>
      <c r="L24" s="179">
        <v>484000</v>
      </c>
    </row>
    <row r="25" spans="7:12" ht="17.399999999999999" x14ac:dyDescent="0.3">
      <c r="G25" s="179" t="s">
        <v>673</v>
      </c>
      <c r="H25" s="179">
        <v>539770</v>
      </c>
      <c r="I25" s="179">
        <v>125314</v>
      </c>
      <c r="J25" s="179">
        <v>38178</v>
      </c>
      <c r="K25" s="179">
        <v>419229</v>
      </c>
      <c r="L25" s="179">
        <v>419000</v>
      </c>
    </row>
    <row r="26" spans="7:12" ht="17.399999999999999" x14ac:dyDescent="0.3">
      <c r="G26" s="179" t="s">
        <v>672</v>
      </c>
      <c r="H26" s="179">
        <v>597406</v>
      </c>
      <c r="I26" s="179">
        <v>144037</v>
      </c>
      <c r="J26" s="179">
        <v>362484</v>
      </c>
      <c r="K26" s="179">
        <v>238034</v>
      </c>
      <c r="L26" s="179">
        <v>238000</v>
      </c>
    </row>
    <row r="27" spans="7:12" ht="17.399999999999999" x14ac:dyDescent="0.3">
      <c r="G27" s="179" t="s">
        <v>674</v>
      </c>
      <c r="H27" s="179">
        <v>50000</v>
      </c>
      <c r="I27" s="179">
        <v>60000</v>
      </c>
      <c r="J27" s="179">
        <v>30000</v>
      </c>
      <c r="K27" s="179">
        <v>75120</v>
      </c>
      <c r="L27" s="179">
        <v>87494</v>
      </c>
    </row>
    <row r="28" spans="7:12" ht="17.399999999999999" x14ac:dyDescent="0.3">
      <c r="G28" s="179" t="s">
        <v>671</v>
      </c>
      <c r="H28" s="179">
        <v>65000</v>
      </c>
      <c r="I28" s="179">
        <v>123456</v>
      </c>
      <c r="J28" s="179">
        <v>70000</v>
      </c>
      <c r="K28" s="179">
        <v>38000</v>
      </c>
      <c r="L28" s="179">
        <v>380000</v>
      </c>
    </row>
    <row r="29" spans="7:12" ht="17.399999999999999" x14ac:dyDescent="0.3">
      <c r="G29" s="179" t="s">
        <v>92</v>
      </c>
      <c r="H29" s="179">
        <v>2162737</v>
      </c>
      <c r="I29" s="179">
        <v>1182394</v>
      </c>
      <c r="J29" s="179">
        <v>1172810</v>
      </c>
      <c r="K29" s="179">
        <v>1530672</v>
      </c>
      <c r="L29" s="179">
        <v>2711494</v>
      </c>
    </row>
  </sheetData>
  <pageMargins left="0.7" right="0.7" top="0.75" bottom="0.75" header="0.3" footer="0.3"/>
  <drawing r:id="rId2"/>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01BDEAA1-FABA-413E-9D00-655913AE9F3E}">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040D79D8-5C37-41D2-B2A6-6ECA3B07F8FF}">
  <ds:schemaRefs/>
</ds:datastoreItem>
</file>

<file path=customXml/itemProps3.xml><?xml version="1.0" encoding="utf-8"?>
<ds:datastoreItem xmlns:ds="http://schemas.openxmlformats.org/officeDocument/2006/customXml" ds:itemID="{3DB531FB-EDD3-40D0-A16F-E6810489AB87}">
  <ds:schemaRefs/>
</ds:datastoreItem>
</file>

<file path=customXml/itemProps4.xml><?xml version="1.0" encoding="utf-8"?>
<ds:datastoreItem xmlns:ds="http://schemas.openxmlformats.org/officeDocument/2006/customXml" ds:itemID="{1988BF98-BAF8-49EF-B27C-EF97C9F6CF71}">
  <ds:schemaRefs/>
</ds:datastoreItem>
</file>

<file path=customXml/itemProps5.xml><?xml version="1.0" encoding="utf-8"?>
<ds:datastoreItem xmlns:ds="http://schemas.openxmlformats.org/officeDocument/2006/customXml" ds:itemID="{516991C8-BBA9-4BF0-9766-7B987794D927}">
  <ds:schemaRefs/>
</ds:datastoreItem>
</file>

<file path=customXml/itemProps6.xml><?xml version="1.0" encoding="utf-8"?>
<ds:datastoreItem xmlns:ds="http://schemas.openxmlformats.org/officeDocument/2006/customXml" ds:itemID="{221728E1-1225-4D87-823C-8D86287EE242}">
  <ds:schemaRefs/>
</ds:datastoreItem>
</file>

<file path=customXml/itemProps7.xml><?xml version="1.0" encoding="utf-8"?>
<ds:datastoreItem xmlns:ds="http://schemas.openxmlformats.org/officeDocument/2006/customXml" ds:itemID="{28115670-5E96-4BCD-A480-4F99E49FC47A}">
  <ds:schemaRefs>
    <ds:schemaRef ds:uri="http://www.w3.org/2001/XMLSchema"/>
    <ds:schemaRef ds:uri="http://microsoft.data.visualization.engine.tours/1.0"/>
  </ds:schemaRefs>
</ds:datastoreItem>
</file>

<file path=customXml/itemProps8.xml><?xml version="1.0" encoding="utf-8"?>
<ds:datastoreItem xmlns:ds="http://schemas.openxmlformats.org/officeDocument/2006/customXml" ds:itemID="{0AB8504F-645D-49A0-A544-A8F00A853B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90</vt:i4>
      </vt:variant>
      <vt:variant>
        <vt:lpstr>Named Ranges</vt:lpstr>
      </vt:variant>
      <vt:variant>
        <vt:i4>24</vt:i4>
      </vt:variant>
    </vt:vector>
  </HeadingPairs>
  <TitlesOfParts>
    <vt:vector size="114" baseType="lpstr">
      <vt:lpstr>Split (and freeze)</vt:lpstr>
      <vt:lpstr>FORMULAS AND FUNCTIONS</vt:lpstr>
      <vt:lpstr>goto, go to special</vt:lpstr>
      <vt:lpstr>find, replace</vt:lpstr>
      <vt:lpstr>VIsible cells only</vt:lpstr>
      <vt:lpstr>FILL - down right flash</vt:lpstr>
      <vt:lpstr>Copying formulas</vt:lpstr>
      <vt:lpstr>SUBTOTAL</vt:lpstr>
      <vt:lpstr>ROUND FUNCTIONS</vt:lpstr>
      <vt:lpstr>Text functions</vt:lpstr>
      <vt:lpstr>Basic formatting</vt:lpstr>
      <vt:lpstr>Logical operators (test)</vt:lpstr>
      <vt:lpstr>How to use IF functions</vt:lpstr>
      <vt:lpstr>Absolute Relative cell referenc</vt:lpstr>
      <vt:lpstr>If functions </vt:lpstr>
      <vt:lpstr>IFs Functions</vt:lpstr>
      <vt:lpstr>Database functions</vt:lpstr>
      <vt:lpstr>Logical functions</vt:lpstr>
      <vt:lpstr>Speak cells, Show hide formulas</vt:lpstr>
      <vt:lpstr>Trace precedents and dependents</vt:lpstr>
      <vt:lpstr>Evaluate formulas</vt:lpstr>
      <vt:lpstr>FOrmula auditing 2</vt:lpstr>
      <vt:lpstr>Excel Protection</vt:lpstr>
      <vt:lpstr>Text to columns - Delimiter</vt:lpstr>
      <vt:lpstr>Text to columns - Fixed width</vt:lpstr>
      <vt:lpstr>Textsplit function</vt:lpstr>
      <vt:lpstr>Textbefore function</vt:lpstr>
      <vt:lpstr>Textafter function</vt:lpstr>
      <vt:lpstr>Naming ranges</vt:lpstr>
      <vt:lpstr>Tables in Excel</vt:lpstr>
      <vt:lpstr>Data Validation</vt:lpstr>
      <vt:lpstr>Dropdown</vt:lpstr>
      <vt:lpstr>Data for dropdown</vt:lpstr>
      <vt:lpstr>Dependent dropdown</vt:lpstr>
      <vt:lpstr>Index and Match functions</vt:lpstr>
      <vt:lpstr>HLOOKUP</vt:lpstr>
      <vt:lpstr>VLOOKUP</vt:lpstr>
      <vt:lpstr>LOOKUP</vt:lpstr>
      <vt:lpstr>XLOOKUP</vt:lpstr>
      <vt:lpstr>Sheet11</vt:lpstr>
      <vt:lpstr>Sheet4</vt:lpstr>
      <vt:lpstr>Offset</vt:lpstr>
      <vt:lpstr>Number formatting</vt:lpstr>
      <vt:lpstr>Date and Time formatting</vt:lpstr>
      <vt:lpstr>Excel Table</vt:lpstr>
      <vt:lpstr>Basic Sorting and Filtering</vt:lpstr>
      <vt:lpstr>Advanced sorting and filtering</vt:lpstr>
      <vt:lpstr>Sheet6</vt:lpstr>
      <vt:lpstr>Removing Duplicates</vt:lpstr>
      <vt:lpstr>Remove duplicates - Table3</vt:lpstr>
      <vt:lpstr>Scenario manager</vt:lpstr>
      <vt:lpstr>Scenario Summary</vt:lpstr>
      <vt:lpstr>Scenario PivotTable</vt:lpstr>
      <vt:lpstr>Data Table</vt:lpstr>
      <vt:lpstr>Goal seek - 1</vt:lpstr>
      <vt:lpstr>Goal Seek - 2</vt:lpstr>
      <vt:lpstr>Sales - 2021</vt:lpstr>
      <vt:lpstr>Sales - 2022</vt:lpstr>
      <vt:lpstr>Sales - 2023</vt:lpstr>
      <vt:lpstr>Sales - 2024</vt:lpstr>
      <vt:lpstr>Consolidate TotalSales</vt:lpstr>
      <vt:lpstr>Type Check</vt:lpstr>
      <vt:lpstr>Approximate &amp; true match</vt:lpstr>
      <vt:lpstr>Date Time functions</vt:lpstr>
      <vt:lpstr>Basic Conditional formatting</vt:lpstr>
      <vt:lpstr>Advanced Conditional formatting</vt:lpstr>
      <vt:lpstr>Data for Pivot table</vt:lpstr>
      <vt:lpstr>Pivot grouping</vt:lpstr>
      <vt:lpstr>Pivot Table</vt:lpstr>
      <vt:lpstr>Pivot Table 2</vt:lpstr>
      <vt:lpstr>Data for Pivot chart</vt:lpstr>
      <vt:lpstr>Pivot Chart</vt:lpstr>
      <vt:lpstr>Pivot Slicer</vt:lpstr>
      <vt:lpstr>Pivot Timeline</vt:lpstr>
      <vt:lpstr>Charts - Column, Clustered, Pie</vt:lpstr>
      <vt:lpstr>Charts - Line, Clustered bar</vt:lpstr>
      <vt:lpstr>Charts - Sprklne, Wtrf, Fnnl</vt:lpstr>
      <vt:lpstr>Charts - Treemap, Sunburst</vt:lpstr>
      <vt:lpstr>Unclean data</vt:lpstr>
      <vt:lpstr>Power Query - Cleaned data</vt:lpstr>
      <vt:lpstr>Power Query Merge.</vt:lpstr>
      <vt:lpstr>Table1</vt:lpstr>
      <vt:lpstr>Table2</vt:lpstr>
      <vt:lpstr>Append1</vt:lpstr>
      <vt:lpstr>Sheet5</vt:lpstr>
      <vt:lpstr>Sheet2</vt:lpstr>
      <vt:lpstr>Sheet1</vt:lpstr>
      <vt:lpstr>Unclean sales data</vt:lpstr>
      <vt:lpstr>Clean sales data</vt:lpstr>
      <vt:lpstr>Dashboard_New</vt:lpstr>
      <vt:lpstr>_MO</vt:lpstr>
      <vt:lpstr>Alphabets</vt:lpstr>
      <vt:lpstr>antennas</vt:lpstr>
      <vt:lpstr>charg.port</vt:lpstr>
      <vt:lpstr>cooling</vt:lpstr>
      <vt:lpstr>'Advanced sorting and filtering'!Criteria</vt:lpstr>
      <vt:lpstr>'Basic Sorting and Filtering'!Criteria</vt:lpstr>
      <vt:lpstr>Digitizer</vt:lpstr>
      <vt:lpstr>'Advanced sorting and filtering'!Extract</vt:lpstr>
      <vt:lpstr>'Basic Sorting and Filtering'!Extract</vt:lpstr>
      <vt:lpstr>Sheet6!Extract</vt:lpstr>
      <vt:lpstr>GRADES</vt:lpstr>
      <vt:lpstr>mic</vt:lpstr>
      <vt:lpstr>MO</vt:lpstr>
      <vt:lpstr>Month</vt:lpstr>
      <vt:lpstr>MONTHSPRODUCTS</vt:lpstr>
      <vt:lpstr>Numbers</vt:lpstr>
      <vt:lpstr>'How to use IF functions'!Print_Titles</vt:lpstr>
      <vt:lpstr>Product</vt:lpstr>
      <vt:lpstr>screen</vt:lpstr>
      <vt:lpstr>simtray</vt:lpstr>
      <vt:lpstr>speaker</vt:lpstr>
      <vt:lpstr>Symbols</vt:lpstr>
      <vt:lpstr>vibr.motor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nishtha jain</dc:creator>
  <cp:lastModifiedBy>Prerit Gupta</cp:lastModifiedBy>
  <cp:lastPrinted>2022-11-22T10:55:39Z</cp:lastPrinted>
  <dcterms:created xsi:type="dcterms:W3CDTF">2022-11-22T04:29:00Z</dcterms:created>
  <dcterms:modified xsi:type="dcterms:W3CDTF">2025-12-24T03:10:37Z</dcterms:modified>
</cp:coreProperties>
</file>